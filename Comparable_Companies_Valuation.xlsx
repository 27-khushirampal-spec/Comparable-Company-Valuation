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HUSHI\Desktop\"/>
    </mc:Choice>
  </mc:AlternateContent>
  <xr:revisionPtr revIDLastSave="0" documentId="8_{5FC68CE8-1619-471A-8FB0-E04CB69B99CD}" xr6:coauthVersionLast="47" xr6:coauthVersionMax="47" xr10:uidLastSave="{00000000-0000-0000-0000-000000000000}"/>
  <bookViews>
    <workbookView xWindow="-110" yWindow="-110" windowWidth="19420" windowHeight="10300" tabRatio="911" xr2:uid="{8CC95FDB-D97C-44DC-9439-CA74B279F6C9}"/>
  </bookViews>
  <sheets>
    <sheet name="COVER" sheetId="4" r:id="rId1"/>
    <sheet name="US COMPANIES" sheetId="1" r:id="rId2"/>
    <sheet name="INDIAN COMPANIES" sheetId="6" r:id="rId3"/>
    <sheet name="CALANDARISATION" sheetId="3" r:id="rId4"/>
    <sheet name="EV BRIDGE" sheetId="2" r:id="rId5"/>
    <sheet name="FINAL COMPS" sheetId="7" r:id="rId6"/>
    <sheet name="PEER STATISTICS" sheetId="8" r:id="rId7"/>
    <sheet name="CHARTS" sheetId="9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" i="7" l="1"/>
  <c r="G13" i="7"/>
  <c r="G14" i="7"/>
  <c r="I13" i="7"/>
  <c r="I14" i="7"/>
  <c r="I12" i="7"/>
  <c r="E12" i="8" s="1"/>
  <c r="I8" i="7"/>
  <c r="I9" i="7"/>
  <c r="I10" i="7"/>
  <c r="I11" i="7"/>
  <c r="I7" i="7"/>
  <c r="G12" i="8" s="1"/>
  <c r="H13" i="7"/>
  <c r="H14" i="7"/>
  <c r="H12" i="7"/>
  <c r="E8" i="8" l="1"/>
  <c r="E10" i="8"/>
  <c r="F12" i="8"/>
  <c r="E9" i="8"/>
  <c r="F11" i="8"/>
  <c r="E7" i="8"/>
  <c r="E11" i="8"/>
  <c r="G11" i="8"/>
  <c r="H21" i="3"/>
  <c r="G12" i="1" s="1"/>
  <c r="H20" i="3"/>
  <c r="F12" i="1" s="1"/>
  <c r="G21" i="3"/>
  <c r="G11" i="1" s="1"/>
  <c r="G20" i="3"/>
  <c r="F11" i="1" s="1"/>
  <c r="I10" i="2"/>
  <c r="I17" i="2" s="1"/>
  <c r="E12" i="1" s="1"/>
  <c r="H10" i="2"/>
  <c r="H17" i="2" s="1"/>
  <c r="E11" i="1" s="1"/>
  <c r="G10" i="2"/>
  <c r="G17" i="2" s="1"/>
  <c r="E10" i="1" s="1"/>
  <c r="F21" i="3"/>
  <c r="G10" i="1" s="1"/>
  <c r="F20" i="3"/>
  <c r="F10" i="1" s="1"/>
  <c r="D21" i="3"/>
  <c r="G8" i="1" s="1"/>
  <c r="F10" i="2"/>
  <c r="F17" i="2" s="1"/>
  <c r="E9" i="1" s="1"/>
  <c r="E21" i="3"/>
  <c r="G9" i="1" s="1"/>
  <c r="E20" i="3"/>
  <c r="F9" i="1" s="1"/>
  <c r="D20" i="3"/>
  <c r="F8" i="1" s="1"/>
  <c r="E16" i="2"/>
  <c r="E15" i="2"/>
  <c r="E12" i="2"/>
  <c r="E11" i="2"/>
  <c r="E10" i="2"/>
  <c r="E17" i="2" l="1"/>
  <c r="E8" i="1" s="1"/>
  <c r="H8" i="1" s="1"/>
  <c r="G7" i="7" s="1"/>
  <c r="I8" i="1"/>
  <c r="H7" i="7" s="1"/>
  <c r="I9" i="1"/>
  <c r="H8" i="7" s="1"/>
  <c r="I12" i="1"/>
  <c r="H11" i="7" s="1"/>
  <c r="I11" i="1"/>
  <c r="H10" i="7" s="1"/>
  <c r="I10" i="1"/>
  <c r="H9" i="7" s="1"/>
  <c r="H9" i="1"/>
  <c r="G8" i="7" s="1"/>
  <c r="H10" i="1"/>
  <c r="G9" i="7" s="1"/>
  <c r="H12" i="1"/>
  <c r="G11" i="7" s="1"/>
  <c r="H11" i="1"/>
  <c r="G10" i="7" s="1"/>
  <c r="F8" i="8" l="1"/>
  <c r="F7" i="8"/>
  <c r="G7" i="8"/>
  <c r="G8" i="8"/>
  <c r="G10" i="8"/>
  <c r="F10" i="8"/>
  <c r="G9" i="8"/>
  <c r="F9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KHUSHI</author>
  </authors>
  <commentList>
    <comment ref="C8" authorId="0" shapeId="0" xr:uid="{CC072EB4-10E9-4FC3-B8AF-FDFC32CDB87D}">
      <text>
        <r>
          <rPr>
            <b/>
            <sz val="9"/>
            <color indexed="81"/>
            <rFont val="Tahoma"/>
            <family val="2"/>
          </rPr>
          <t>KHUSHI:</t>
        </r>
        <r>
          <rPr>
            <sz val="9"/>
            <color indexed="81"/>
            <rFont val="Tahoma"/>
            <family val="2"/>
          </rPr>
          <t xml:space="preserve">
https://finance.yahoo.com/quote/MSFT/history/
Source: Yahoo Finance
Metric: Microsoft Corporation – Historical Close Price
Valuation Date: 31 July 2026
Currency: USD</t>
        </r>
      </text>
    </comment>
    <comment ref="D8" authorId="0" shapeId="0" xr:uid="{580346AD-4E38-4301-976B-27CB4B7E8A4A}">
      <text>
        <r>
          <rPr>
            <b/>
            <sz val="9"/>
            <color indexed="81"/>
            <rFont val="Tahoma"/>
            <family val="2"/>
          </rPr>
          <t>KHUSHI:</t>
        </r>
        <r>
          <rPr>
            <sz val="9"/>
            <color indexed="81"/>
            <rFont val="Tahoma"/>
            <family val="2"/>
          </rPr>
          <t xml:space="preserve">
Source: Yahoo Finance (Summary)
https://finance.yahoo.com/quote/MSFT/
Metric: Market Capitalization (Intraday)
Value Used: USD 3.677 Trillion
Currency: USD
Accessed On: 15 Aug 2026</t>
        </r>
      </text>
    </comment>
    <comment ref="J8" authorId="0" shapeId="0" xr:uid="{77D8B0C3-8042-49F0-B944-7CAB3A44F440}">
      <text>
        <r>
          <rPr>
            <b/>
            <sz val="9"/>
            <color indexed="81"/>
            <rFont val="Tahoma"/>
            <family val="2"/>
          </rPr>
          <t>KHUSHI:</t>
        </r>
        <r>
          <rPr>
            <sz val="9"/>
            <color indexed="81"/>
            <rFont val="Tahoma"/>
            <family val="2"/>
          </rPr>
          <t xml:space="preserve">
Source: Yahoo Finance - Statistics - Valuation Measures Metric: Forward P/E Ratio Company: Microsoft Corporation Value: 25.71x Accessed: 15 Aug 2026</t>
        </r>
      </text>
    </comment>
    <comment ref="C9" authorId="0" shapeId="0" xr:uid="{9FAA3690-1E53-4265-AA9B-8D549FA833BF}">
      <text>
        <r>
          <rPr>
            <b/>
            <sz val="9"/>
            <color indexed="81"/>
            <rFont val="Tahoma"/>
            <family val="2"/>
          </rPr>
          <t>KHUSHI:</t>
        </r>
        <r>
          <rPr>
            <sz val="9"/>
            <color indexed="81"/>
            <rFont val="Tahoma"/>
            <family val="2"/>
          </rPr>
          <t xml:space="preserve">
https://finance.yahoo.com/quote/GOOGL/history/
Metric: Alphabet Inc. (GOOGL) – Historical Close Price
Valuation Date: 31 July 2026
Currency: USD</t>
        </r>
      </text>
    </comment>
    <comment ref="D9" authorId="0" shapeId="0" xr:uid="{BB86A134-AD51-449D-863D-BC2135D3F0BA}">
      <text>
        <r>
          <rPr>
            <b/>
            <sz val="9"/>
            <color indexed="81"/>
            <rFont val="Tahoma"/>
            <family val="2"/>
          </rPr>
          <t>KHUSHI:</t>
        </r>
        <r>
          <rPr>
            <sz val="9"/>
            <color indexed="81"/>
            <rFont val="Tahoma"/>
            <family val="2"/>
          </rPr>
          <t xml:space="preserve">
Source: Yahoo Finance (Summary)
https://finance.yahoo.com/quote/GOOGL/
Metric: Market Capitalization (Intraday)
Value Used: USD 4.23 Trillion
Currency: USD
Accessed On: 15 Aug 2026</t>
        </r>
      </text>
    </comment>
    <comment ref="J9" authorId="0" shapeId="0" xr:uid="{412D780A-F73C-4629-898F-5CDFC5E89A85}">
      <text>
        <r>
          <rPr>
            <b/>
            <sz val="9"/>
            <color indexed="81"/>
            <rFont val="Tahoma"/>
            <family val="2"/>
          </rPr>
          <t>KHUSHI:</t>
        </r>
        <r>
          <rPr>
            <sz val="9"/>
            <color indexed="81"/>
            <rFont val="Tahoma"/>
            <family val="2"/>
          </rPr>
          <t xml:space="preserve">
Source: Yahoo Finance - Statistics - Valuation Measures
https://finance.yahoo.com/quote/GOOGL/key-statistics/
Metric: Forward P/E
Value Used: 25.32×
Basis: Forward analyst estimate</t>
        </r>
      </text>
    </comment>
    <comment ref="C10" authorId="0" shapeId="0" xr:uid="{29C5F622-4066-4782-92E3-99D3D9D49E54}">
      <text>
        <r>
          <rPr>
            <b/>
            <sz val="9"/>
            <color indexed="81"/>
            <rFont val="Tahoma"/>
            <family val="2"/>
          </rPr>
          <t>KHUSHI:</t>
        </r>
        <r>
          <rPr>
            <sz val="9"/>
            <color indexed="81"/>
            <rFont val="Tahoma"/>
            <family val="2"/>
          </rPr>
          <t xml:space="preserve">
https://finance.yahoo.com/quote/ORCL/history/
Metric: Oracle – Historical Close Price
Valuation Date: 31 July 2026
Currency: USD</t>
        </r>
      </text>
    </comment>
    <comment ref="D10" authorId="0" shapeId="0" xr:uid="{F16E9F2F-510D-491B-A5CE-A5EB669BC23A}">
      <text>
        <r>
          <rPr>
            <b/>
            <sz val="9"/>
            <color indexed="81"/>
            <rFont val="Tahoma"/>
            <family val="2"/>
          </rPr>
          <t>KHUSHI:</t>
        </r>
        <r>
          <rPr>
            <sz val="9"/>
            <color indexed="81"/>
            <rFont val="Tahoma"/>
            <family val="2"/>
          </rPr>
          <t xml:space="preserve">
Source: Yahoo Finance (Summary)
https://finance.yahoo.com/quote/ORCL/
Metric: Market Capitalization (Intraday)
Value Used: USD 433.569 Billion
</t>
        </r>
      </text>
    </comment>
    <comment ref="J10" authorId="0" shapeId="0" xr:uid="{189FE12D-F588-48F5-8555-19B5EF2FE0D1}">
      <text>
        <r>
          <rPr>
            <b/>
            <sz val="9"/>
            <color indexed="81"/>
            <rFont val="Tahoma"/>
            <family val="2"/>
          </rPr>
          <t>KHUSHI:</t>
        </r>
        <r>
          <rPr>
            <sz val="9"/>
            <color indexed="81"/>
            <rFont val="Tahoma"/>
            <family val="2"/>
          </rPr>
          <t xml:space="preserve">
Source: Yahoo Finance - Statistics - Valuation Measures
https://finance.yahoo.com/quote/ORCL/key-statistics/
Metric: Forward P/E
Value Used: 28.17×
Basis: Forward analyst estimate
</t>
        </r>
      </text>
    </comment>
    <comment ref="C11" authorId="0" shapeId="0" xr:uid="{178642B2-1D5A-4166-8C57-4EB177BB61E5}">
      <text>
        <r>
          <rPr>
            <b/>
            <sz val="9"/>
            <color indexed="81"/>
            <rFont val="Tahoma"/>
            <family val="2"/>
          </rPr>
          <t>KHUSHI:</t>
        </r>
        <r>
          <rPr>
            <sz val="9"/>
            <color indexed="81"/>
            <rFont val="Tahoma"/>
            <family val="2"/>
          </rPr>
          <t xml:space="preserve">
https://finance.yahoo.com/quote/CRM/history/
Metric: Salesforce (CRM) – Historical Close Price
Valuation Date: 31 July 2026
Currency: USD
</t>
        </r>
      </text>
    </comment>
    <comment ref="D11" authorId="0" shapeId="0" xr:uid="{8C976D00-4297-4798-A762-CEF605375EC6}">
      <text>
        <r>
          <rPr>
            <b/>
            <sz val="9"/>
            <color indexed="81"/>
            <rFont val="Tahoma"/>
            <family val="2"/>
          </rPr>
          <t>KHUSHI:</t>
        </r>
        <r>
          <rPr>
            <sz val="9"/>
            <color indexed="81"/>
            <rFont val="Tahoma"/>
            <family val="2"/>
          </rPr>
          <t xml:space="preserve">
Source: Yahoo Finance (Summary)
https://finance.yahoo.com/quote/CRM/
Metric: Market Capitalization (Intraday)
Value Used: USD 160.696 B
Currency: USD
</t>
        </r>
      </text>
    </comment>
    <comment ref="J11" authorId="0" shapeId="0" xr:uid="{EAF16D52-5116-4455-9A23-5176C9340C3C}">
      <text>
        <r>
          <rPr>
            <b/>
            <sz val="9"/>
            <color indexed="81"/>
            <rFont val="Tahoma"/>
            <family val="2"/>
          </rPr>
          <t>KHUSHI:</t>
        </r>
        <r>
          <rPr>
            <sz val="9"/>
            <color indexed="81"/>
            <rFont val="Tahoma"/>
            <family val="2"/>
          </rPr>
          <t xml:space="preserve">
Source: Yahoo Finance - Statistics - Valuation Measures
https://finance.yahoo.com/quote/CRM/key-statistics/
Metric: Forward P/E
Value Used: 13.4×
Basis: Forward analyst estimate
</t>
        </r>
      </text>
    </comment>
    <comment ref="C12" authorId="0" shapeId="0" xr:uid="{9D2A56C5-D618-42D9-BC59-32DBE89DF89C}">
      <text>
        <r>
          <rPr>
            <b/>
            <sz val="9"/>
            <color indexed="81"/>
            <rFont val="Tahoma"/>
            <family val="2"/>
          </rPr>
          <t>KHUSHI:</t>
        </r>
        <r>
          <rPr>
            <sz val="9"/>
            <color indexed="81"/>
            <rFont val="Tahoma"/>
            <family val="2"/>
          </rPr>
          <t xml:space="preserve">
https://finance.yahoo.com/quote/IBM/history/
Metric: IBM – Historical Close Price
Valuation Date: 31 July 2026
Value in USD</t>
        </r>
      </text>
    </comment>
    <comment ref="D12" authorId="0" shapeId="0" xr:uid="{1390F892-6C8B-4BFC-9E49-93BC5EE38EAB}">
      <text>
        <r>
          <rPr>
            <b/>
            <sz val="9"/>
            <color indexed="81"/>
            <rFont val="Tahoma"/>
            <family val="2"/>
          </rPr>
          <t>KHUSHI:</t>
        </r>
        <r>
          <rPr>
            <sz val="9"/>
            <color indexed="81"/>
            <rFont val="Tahoma"/>
            <family val="2"/>
          </rPr>
          <t xml:space="preserve">
Source: Yahoo Finance (Summary)
https://finance.yahoo.com/quote/IBM/
Metric: Market Capitalization (Intraday)
Value Used: USD 229.761 B</t>
        </r>
      </text>
    </comment>
    <comment ref="J12" authorId="0" shapeId="0" xr:uid="{0C344FDD-AA81-49F2-98FB-8E94F667D234}">
      <text>
        <r>
          <rPr>
            <b/>
            <sz val="9"/>
            <color indexed="81"/>
            <rFont val="Tahoma"/>
            <family val="2"/>
          </rPr>
          <t>KHUSHI:</t>
        </r>
        <r>
          <rPr>
            <sz val="9"/>
            <color indexed="81"/>
            <rFont val="Tahoma"/>
            <family val="2"/>
          </rPr>
          <t xml:space="preserve">
Source: Yahoo Finance - Statistics - Valuation Measures
https://finance.yahoo.com/quote/IBM/key-statistics/
Metric: Forward P/E
Value Used: 22.73×
Basis: Forward analyst estimate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KHUSHI</author>
  </authors>
  <commentList>
    <comment ref="E8" authorId="0" shapeId="0" xr:uid="{044A36BC-5286-4713-BA67-B60F0EB127D1}">
      <text>
        <r>
          <rPr>
            <b/>
            <sz val="9"/>
            <color indexed="81"/>
            <rFont val="Tahoma"/>
            <family val="2"/>
          </rPr>
          <t>KHUSHI:</t>
        </r>
        <r>
          <rPr>
            <sz val="9"/>
            <color indexed="81"/>
            <rFont val="Tahoma"/>
            <family val="2"/>
          </rPr>
          <t xml:space="preserve">
https://finance.yahoo.com/quote/IBM/history/
Metric: Wipro – Historical Close Price
Valuation Date: 31 July 2026
Value in USD</t>
        </r>
      </text>
    </comment>
    <comment ref="F8" authorId="0" shapeId="0" xr:uid="{CFF8C38E-5559-4F17-8C41-84D554032733}">
      <text>
        <r>
          <rPr>
            <b/>
            <sz val="9"/>
            <color indexed="81"/>
            <rFont val="Tahoma"/>
            <family val="2"/>
          </rPr>
          <t>KHUSHI:</t>
        </r>
        <r>
          <rPr>
            <sz val="9"/>
            <color indexed="81"/>
            <rFont val="Tahoma"/>
            <family val="2"/>
          </rPr>
          <t xml:space="preserve">
Source: Yahoo Finance (Summary)
https://finance.yahoo.com/quote/Wipro/
Metric: Market Capitalization (Intraday)
Value Used: USD 19.192 B</t>
        </r>
      </text>
    </comment>
    <comment ref="G8" authorId="0" shapeId="0" xr:uid="{1BBEFC1C-59BC-4C6E-BEAC-39B0088368BC}">
      <text>
        <r>
          <rPr>
            <b/>
            <sz val="9"/>
            <color indexed="81"/>
            <rFont val="Tahoma"/>
            <family val="2"/>
          </rPr>
          <t>KHUSHI:</t>
        </r>
        <r>
          <rPr>
            <sz val="9"/>
            <color indexed="81"/>
            <rFont val="Tahoma"/>
            <family val="2"/>
          </rPr>
          <t xml:space="preserve">
Source: MarketScreener Section: Valuation Metrics: EV/EBITDA (2026E &amp; 2027E)
https://in.marketscreener.com/quote/stock/WIPRO-LIMITED-9059079/valuation/</t>
        </r>
      </text>
    </comment>
    <comment ref="I8" authorId="0" shapeId="0" xr:uid="{01972C23-F4E0-46C0-B585-A0F1881DEC53}">
      <text>
        <r>
          <rPr>
            <b/>
            <sz val="9"/>
            <color indexed="81"/>
            <rFont val="Tahoma"/>
            <family val="2"/>
          </rPr>
          <t>KHUSHI:</t>
        </r>
        <r>
          <rPr>
            <sz val="9"/>
            <color indexed="81"/>
            <rFont val="Tahoma"/>
            <family val="2"/>
          </rPr>
          <t xml:space="preserve">
Source: Yahoo Finance - Statistics - Valuation Measures
https://finance.yahoo.com/quote/Wipro/key-statistics/
Metric: Forward P/E
Value Used: 14.56×
Basis: Forward analyst estimate</t>
        </r>
      </text>
    </comment>
    <comment ref="E9" authorId="0" shapeId="0" xr:uid="{8AF8A9E5-91F0-4025-9C06-4D54C5A4AAE4}">
      <text>
        <r>
          <rPr>
            <b/>
            <sz val="9"/>
            <color indexed="81"/>
            <rFont val="Tahoma"/>
            <family val="2"/>
          </rPr>
          <t>KHUSHI:</t>
        </r>
        <r>
          <rPr>
            <sz val="9"/>
            <color indexed="81"/>
            <rFont val="Tahoma"/>
            <family val="2"/>
          </rPr>
          <t xml:space="preserve">
https://finance.yahoo.com/quote/IBM/history/
Metric: Infosys – Historical Close Price
Valuation Date: 31 July 2026
Value in USD</t>
        </r>
      </text>
    </comment>
    <comment ref="F9" authorId="0" shapeId="0" xr:uid="{1FF70BC2-93ED-4D03-9FF8-2C0CB9345889}">
      <text>
        <r>
          <rPr>
            <b/>
            <sz val="9"/>
            <color indexed="81"/>
            <rFont val="Tahoma"/>
            <family val="2"/>
          </rPr>
          <t>KHUSHI:</t>
        </r>
        <r>
          <rPr>
            <sz val="9"/>
            <color indexed="81"/>
            <rFont val="Tahoma"/>
            <family val="2"/>
          </rPr>
          <t xml:space="preserve">
Source: Yahoo Finance (Summary)
https://finance.yahoo.com/quote/Infosys/
Metric: Market Capitalization (Intraday)
Value Used: USD 48.966 B</t>
        </r>
      </text>
    </comment>
    <comment ref="G9" authorId="0" shapeId="0" xr:uid="{29E40F5F-9711-4307-981B-A9FB41ABB29F}">
      <text>
        <r>
          <rPr>
            <b/>
            <sz val="9"/>
            <color indexed="81"/>
            <rFont val="Tahoma"/>
            <family val="2"/>
          </rPr>
          <t>KHUSHI:</t>
        </r>
        <r>
          <rPr>
            <sz val="9"/>
            <color indexed="81"/>
            <rFont val="Tahoma"/>
            <family val="2"/>
          </rPr>
          <t xml:space="preserve">
Source: MarketScreener Section: Valuation Metrics: EV/EBITDA (2026E &amp; 2027E)
https://in.marketscreener.com/quote/stock/INFOSYS-LIMITED-9743342/valuation/</t>
        </r>
      </text>
    </comment>
    <comment ref="I9" authorId="0" shapeId="0" xr:uid="{90DB9B89-24D1-436B-8C8E-3AC4505939BC}">
      <text>
        <r>
          <rPr>
            <b/>
            <sz val="9"/>
            <color indexed="81"/>
            <rFont val="Tahoma"/>
            <family val="2"/>
          </rPr>
          <t>KHUSHI:</t>
        </r>
        <r>
          <rPr>
            <sz val="9"/>
            <color indexed="81"/>
            <rFont val="Tahoma"/>
            <family val="2"/>
          </rPr>
          <t xml:space="preserve">
Source: Yahoo Finance - Statistics - Valuation Measures
https://finance.yahoo.com/quote/Infosys/key-statistics/
Metric: Forward P/E
Value Used: 12.76×
Basis: Forward analyst estimate</t>
        </r>
      </text>
    </comment>
    <comment ref="E10" authorId="0" shapeId="0" xr:uid="{8CD31E05-8BA7-409E-9B10-657266F04608}">
      <text>
        <r>
          <rPr>
            <b/>
            <sz val="9"/>
            <color indexed="81"/>
            <rFont val="Tahoma"/>
            <family val="2"/>
          </rPr>
          <t>KHUSHI:</t>
        </r>
        <r>
          <rPr>
            <sz val="9"/>
            <color indexed="81"/>
            <rFont val="Tahoma"/>
            <family val="2"/>
          </rPr>
          <t xml:space="preserve">
https://finance.yahoo.com/quote/TCS/history/
Metric: TCS – Historical Close Price
Valuation Date: 31 July 2026
Value in USD</t>
        </r>
      </text>
    </comment>
    <comment ref="F10" authorId="0" shapeId="0" xr:uid="{F12EE8FF-F688-4AAC-8AB3-F37E4FC6B9CB}">
      <text>
        <r>
          <rPr>
            <b/>
            <sz val="9"/>
            <color indexed="81"/>
            <rFont val="Tahoma"/>
            <family val="2"/>
          </rPr>
          <t>KHUSHI:</t>
        </r>
        <r>
          <rPr>
            <sz val="9"/>
            <color indexed="81"/>
            <rFont val="Tahoma"/>
            <family val="2"/>
          </rPr>
          <t xml:space="preserve">
Source: Yahoo Finance (Summary)
https://finance.yahoo.com/quote/TCS/
Metric: Market Capitalization (Intraday)
Value Used: USD 8,542 T</t>
        </r>
      </text>
    </comment>
    <comment ref="G10" authorId="0" shapeId="0" xr:uid="{321D4172-F0E9-43ED-AD8F-EEDCF4899DC0}">
      <text>
        <r>
          <rPr>
            <b/>
            <sz val="9"/>
            <color indexed="81"/>
            <rFont val="Tahoma"/>
            <family val="2"/>
          </rPr>
          <t>KHUSHI:</t>
        </r>
        <r>
          <rPr>
            <sz val="9"/>
            <color indexed="81"/>
            <rFont val="Tahoma"/>
            <family val="2"/>
          </rPr>
          <t xml:space="preserve">
Source: MarketScreener Section: Valuation Metrics: EV/EBITDA (2026E &amp; 2027E)
</t>
        </r>
      </text>
    </comment>
    <comment ref="I10" authorId="0" shapeId="0" xr:uid="{6A18F5F7-F598-47D6-8C56-82EDC1DF2FC0}">
      <text>
        <r>
          <rPr>
            <b/>
            <sz val="9"/>
            <color indexed="81"/>
            <rFont val="Tahoma"/>
            <family val="2"/>
          </rPr>
          <t>KHUSHI:</t>
        </r>
        <r>
          <rPr>
            <sz val="9"/>
            <color indexed="81"/>
            <rFont val="Tahoma"/>
            <family val="2"/>
          </rPr>
          <t xml:space="preserve">
Source: Yahoo Finance - Statistics - Valuation Measures
https://finance.yahoo.com/quote/TCS/key-statistics/
Metric: Forward P/E
Value Used: 12.55×
Basis: Forward analyst estimate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KHUSHI</author>
  </authors>
  <commentList>
    <comment ref="D13" authorId="0" shapeId="0" xr:uid="{3F6AA4A2-90ED-445C-B0D9-2F195C465886}">
      <text>
        <r>
          <rPr>
            <b/>
            <sz val="9"/>
            <color indexed="81"/>
            <rFont val="Tahoma"/>
            <family val="2"/>
          </rPr>
          <t>KHUSHI:</t>
        </r>
        <r>
          <rPr>
            <sz val="9"/>
            <color indexed="81"/>
            <rFont val="Tahoma"/>
            <family val="2"/>
          </rPr>
          <t xml:space="preserve">
Assignment Valuation Date (31-Jul-2026)</t>
        </r>
      </text>
    </comment>
    <comment ref="E13" authorId="0" shapeId="0" xr:uid="{4C09E0EA-2244-4B80-9938-5AEC69FF7A9C}">
      <text>
        <r>
          <rPr>
            <b/>
            <sz val="9"/>
            <color indexed="81"/>
            <rFont val="Tahoma"/>
            <family val="2"/>
          </rPr>
          <t>KHUSHI:</t>
        </r>
        <r>
          <rPr>
            <sz val="9"/>
            <color indexed="81"/>
            <rFont val="Tahoma"/>
            <family val="2"/>
          </rPr>
          <t xml:space="preserve">
Assignment Valuation Date (31-Jul-2026)</t>
        </r>
      </text>
    </comment>
    <comment ref="F13" authorId="0" shapeId="0" xr:uid="{9EF502F9-50D1-493B-8F7E-0C9392956DF1}">
      <text>
        <r>
          <rPr>
            <b/>
            <sz val="9"/>
            <color indexed="81"/>
            <rFont val="Tahoma"/>
            <family val="2"/>
          </rPr>
          <t>KHUSHI:</t>
        </r>
        <r>
          <rPr>
            <sz val="9"/>
            <color indexed="81"/>
            <rFont val="Tahoma"/>
            <family val="2"/>
          </rPr>
          <t xml:space="preserve">
Assignment Valuation Date (31-Jul-2026)</t>
        </r>
      </text>
    </comment>
    <comment ref="G13" authorId="0" shapeId="0" xr:uid="{2A73FAD0-C4AF-4724-AE35-1012D4D05CBF}">
      <text>
        <r>
          <rPr>
            <b/>
            <sz val="9"/>
            <color indexed="81"/>
            <rFont val="Tahoma"/>
            <family val="2"/>
          </rPr>
          <t>KHUSHI:</t>
        </r>
        <r>
          <rPr>
            <sz val="9"/>
            <color indexed="81"/>
            <rFont val="Tahoma"/>
            <family val="2"/>
          </rPr>
          <t xml:space="preserve">
Assignment Valuation Date (31-Jul-2026)</t>
        </r>
      </text>
    </comment>
    <comment ref="H13" authorId="0" shapeId="0" xr:uid="{678C2369-58DF-4830-8627-25414D7EC33E}">
      <text>
        <r>
          <rPr>
            <b/>
            <sz val="9"/>
            <color indexed="81"/>
            <rFont val="Tahoma"/>
            <family val="2"/>
          </rPr>
          <t>KHUSHI:</t>
        </r>
        <r>
          <rPr>
            <sz val="9"/>
            <color indexed="81"/>
            <rFont val="Tahoma"/>
            <family val="2"/>
          </rPr>
          <t xml:space="preserve">
Assignment Valuation Date (31-Jul-2026)</t>
        </r>
      </text>
    </comment>
    <comment ref="D15" authorId="0" shapeId="0" xr:uid="{FE9BED27-F743-4297-8D11-AAAEC19F96BE}">
      <text>
        <r>
          <rPr>
            <b/>
            <sz val="9"/>
            <color indexed="81"/>
            <rFont val="Tahoma"/>
            <family val="2"/>
          </rPr>
          <t>KHUSHI:</t>
        </r>
        <r>
          <rPr>
            <sz val="9"/>
            <color indexed="81"/>
            <rFont val="Tahoma"/>
            <family val="2"/>
          </rPr>
          <t xml:space="preserve">
Finbox – EBITDA Forecast</t>
        </r>
      </text>
    </comment>
    <comment ref="E15" authorId="0" shapeId="0" xr:uid="{162A74F7-5827-4406-845A-8CD43AE463FF}">
      <text>
        <r>
          <rPr>
            <b/>
            <sz val="9"/>
            <color indexed="81"/>
            <rFont val="Tahoma"/>
            <family val="2"/>
          </rPr>
          <t>KHUSHI:</t>
        </r>
        <r>
          <rPr>
            <sz val="9"/>
            <color indexed="81"/>
            <rFont val="Tahoma"/>
            <family val="2"/>
          </rPr>
          <t xml:space="preserve">
Finbox - EBITDA Forecast
https://finbox.com/NASDAQGS:GOOGL/explorer/ebitda_proj</t>
        </r>
      </text>
    </comment>
    <comment ref="F15" authorId="0" shapeId="0" xr:uid="{ABCF1915-A6C1-4BA6-BD95-E257B487E4A6}">
      <text>
        <r>
          <rPr>
            <b/>
            <sz val="9"/>
            <color indexed="81"/>
            <rFont val="Tahoma"/>
            <family val="2"/>
          </rPr>
          <t>KHUSHI:</t>
        </r>
        <r>
          <rPr>
            <sz val="9"/>
            <color indexed="81"/>
            <rFont val="Tahoma"/>
            <family val="2"/>
          </rPr>
          <t xml:space="preserve">
Finbox - EBITDA Forecast
https://finbox.com/NYSE:ORCL/explorer/ebitda_proj</t>
        </r>
      </text>
    </comment>
    <comment ref="G15" authorId="0" shapeId="0" xr:uid="{4976B84E-4826-4085-9450-5FC079C6BD2A}">
      <text>
        <r>
          <rPr>
            <b/>
            <sz val="9"/>
            <color indexed="81"/>
            <rFont val="Tahoma"/>
            <family val="2"/>
          </rPr>
          <t>KHUSHI:</t>
        </r>
        <r>
          <rPr>
            <sz val="9"/>
            <color indexed="81"/>
            <rFont val="Tahoma"/>
            <family val="2"/>
          </rPr>
          <t xml:space="preserve">
Finbox - EBITDA Forecast
https://finbox.com/NYSE:CRM/explorer/ebitda_proj</t>
        </r>
      </text>
    </comment>
    <comment ref="H15" authorId="0" shapeId="0" xr:uid="{C3690938-11A7-4CF9-A40E-41D81B602333}">
      <text>
        <r>
          <rPr>
            <b/>
            <sz val="9"/>
            <color indexed="81"/>
            <rFont val="Tahoma"/>
            <family val="2"/>
          </rPr>
          <t>KHUSHI:</t>
        </r>
        <r>
          <rPr>
            <sz val="9"/>
            <color indexed="81"/>
            <rFont val="Tahoma"/>
            <family val="2"/>
          </rPr>
          <t xml:space="preserve">
Finbox - EBITDA Forecast
https://finbox.com/NYSE:IBM/explorer/ebitda_proj</t>
        </r>
      </text>
    </comment>
    <comment ref="D18" authorId="0" shapeId="0" xr:uid="{F9BCC92A-D76C-4DE5-B42D-33AE74F4984E}">
      <text>
        <r>
          <rPr>
            <b/>
            <sz val="9"/>
            <color indexed="81"/>
            <rFont val="Tahoma"/>
            <family val="2"/>
          </rPr>
          <t>KHUSHI:</t>
        </r>
        <r>
          <rPr>
            <sz val="9"/>
            <color indexed="81"/>
            <rFont val="Tahoma"/>
            <family val="2"/>
          </rPr>
          <t xml:space="preserve">
Calendarisation methodology (5 months + 7 months)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KHUSHI</author>
  </authors>
  <commentList>
    <comment ref="E11" authorId="0" shapeId="0" xr:uid="{4C70136B-7A6B-4D8A-BEC2-AF934B91FE73}">
      <text>
        <r>
          <rPr>
            <b/>
            <sz val="9"/>
            <color indexed="81"/>
            <rFont val="Tahoma"/>
            <family val="2"/>
          </rPr>
          <t>KHUSHI:</t>
        </r>
        <r>
          <rPr>
            <sz val="9"/>
            <color indexed="81"/>
            <rFont val="Tahoma"/>
            <family val="2"/>
          </rPr>
          <t xml:space="preserve">
Source: Microsoft 2026 Form 10-K Page: Consolidated Balance Sheet 
Calculation: 9,227 + 31,067 = 40,294 USD Million</t>
        </r>
      </text>
    </comment>
    <comment ref="F11" authorId="0" shapeId="0" xr:uid="{7E483873-6773-4148-ADFA-28BF10C21669}">
      <text>
        <r>
          <rPr>
            <b/>
            <sz val="9"/>
            <color indexed="81"/>
            <rFont val="Tahoma"/>
            <family val="2"/>
          </rPr>
          <t>KHUSHI:</t>
        </r>
        <r>
          <rPr>
            <sz val="9"/>
            <color indexed="81"/>
            <rFont val="Tahoma"/>
            <family val="2"/>
          </rPr>
          <t xml:space="preserve">
Source: Alphabet 2026 Form 10-K - Consolidated Balance Sheet - Long-term debt</t>
        </r>
      </text>
    </comment>
    <comment ref="G11" authorId="0" shapeId="0" xr:uid="{43264DDD-B238-4EB0-8BC2-579D79200E6A}">
      <text>
        <r>
          <rPr>
            <b/>
            <sz val="9"/>
            <color indexed="81"/>
            <rFont val="Tahoma"/>
            <family val="2"/>
          </rPr>
          <t>KHUSHI:</t>
        </r>
        <r>
          <rPr>
            <sz val="9"/>
            <color indexed="81"/>
            <rFont val="Tahoma"/>
            <family val="2"/>
          </rPr>
          <t xml:space="preserve">
Source: Oracle 2026 Form 10-K Page: Consolidated Balance Sheet 
Calculation: 7199 + 122342 = 129541 USD Million
</t>
        </r>
      </text>
    </comment>
    <comment ref="H11" authorId="0" shapeId="0" xr:uid="{34ED92E3-E717-4708-869A-A1A7F3D32BC4}">
      <text>
        <r>
          <rPr>
            <b/>
            <sz val="9"/>
            <color indexed="81"/>
            <rFont val="Tahoma"/>
            <family val="2"/>
          </rPr>
          <t>KHUSHI:</t>
        </r>
        <r>
          <rPr>
            <sz val="9"/>
            <color indexed="81"/>
            <rFont val="Tahoma"/>
            <family val="2"/>
          </rPr>
          <t xml:space="preserve">
Source: Salesforce 2026 Form 10-K Page: Consolidated Balance Sheet 
Calculation: 4000 + 10439 = 14439 USD Million</t>
        </r>
      </text>
    </comment>
    <comment ref="I11" authorId="0" shapeId="0" xr:uid="{AA449FC2-0F02-4086-A658-2E2E58DCBEFD}">
      <text>
        <r>
          <rPr>
            <b/>
            <sz val="9"/>
            <color indexed="81"/>
            <rFont val="Tahoma"/>
            <family val="2"/>
          </rPr>
          <t>KHUSHI:</t>
        </r>
        <r>
          <rPr>
            <sz val="9"/>
            <color indexed="81"/>
            <rFont val="Tahoma"/>
            <family val="2"/>
          </rPr>
          <t xml:space="preserve">
Source: IBM 2026 Form 10-K Page: Consolidated Balance Sheet 
Calculation: 6424 + 54836 = 61260 USD Million</t>
        </r>
      </text>
    </comment>
    <comment ref="E12" authorId="0" shapeId="0" xr:uid="{996657AE-B000-4E75-ABF6-1AD3515A08DA}">
      <text>
        <r>
          <rPr>
            <b/>
            <sz val="9"/>
            <color indexed="81"/>
            <rFont val="Tahoma"/>
            <family val="2"/>
          </rPr>
          <t>KHUSHI:</t>
        </r>
        <r>
          <rPr>
            <sz val="9"/>
            <color indexed="81"/>
            <rFont val="Tahoma"/>
            <family val="2"/>
          </rPr>
          <t xml:space="preserve">
Source: Microsoft 2026 Form 10-K Metric: Operating Lease Liabilities Value: 16,532 USD Million
</t>
        </r>
      </text>
    </comment>
    <comment ref="F12" authorId="0" shapeId="0" xr:uid="{7372E645-BB15-4CEC-B039-BEAB2EF49A3B}">
      <text>
        <r>
          <rPr>
            <b/>
            <sz val="9"/>
            <color indexed="81"/>
            <rFont val="Tahoma"/>
            <family val="2"/>
          </rPr>
          <t>KHUSHI:</t>
        </r>
        <r>
          <rPr>
            <sz val="9"/>
            <color indexed="81"/>
            <rFont val="Tahoma"/>
            <family val="2"/>
          </rPr>
          <t xml:space="preserve">
Source: Alphabet 2026 Form 10-K - Operating lease liabilities</t>
        </r>
      </text>
    </comment>
    <comment ref="G12" authorId="0" shapeId="0" xr:uid="{6888F0E6-B575-4159-ACD6-AFB17B301D25}">
      <text>
        <r>
          <rPr>
            <b/>
            <sz val="9"/>
            <color indexed="81"/>
            <rFont val="Tahoma"/>
            <family val="2"/>
          </rPr>
          <t>KHUSHI:</t>
        </r>
        <r>
          <rPr>
            <sz val="9"/>
            <color indexed="81"/>
            <rFont val="Tahoma"/>
            <family val="2"/>
          </rPr>
          <t xml:space="preserve">
Source: Oracle 2026 Form 10-K - Operating lease liabilities</t>
        </r>
      </text>
    </comment>
    <comment ref="H12" authorId="0" shapeId="0" xr:uid="{9B82D2E0-BC56-4280-BBBC-1C3A9262A622}">
      <text>
        <r>
          <rPr>
            <b/>
            <sz val="9"/>
            <color indexed="81"/>
            <rFont val="Tahoma"/>
            <family val="2"/>
          </rPr>
          <t>KHUSHI:</t>
        </r>
        <r>
          <rPr>
            <sz val="9"/>
            <color indexed="81"/>
            <rFont val="Tahoma"/>
            <family val="2"/>
          </rPr>
          <t xml:space="preserve">
Source: Salesforce 2026 Form 10-K Page: Consolidated Balance Sheet 
Calculation: 548 + 2189 = 2737 USD Million</t>
        </r>
      </text>
    </comment>
    <comment ref="I12" authorId="0" shapeId="0" xr:uid="{31E3BCBB-A429-480C-9A66-CB09D23ED51B}">
      <text>
        <r>
          <rPr>
            <b/>
            <sz val="9"/>
            <color indexed="81"/>
            <rFont val="Tahoma"/>
            <family val="2"/>
          </rPr>
          <t>KHUSHI:</t>
        </r>
        <r>
          <rPr>
            <sz val="9"/>
            <color indexed="81"/>
            <rFont val="Tahoma"/>
            <family val="2"/>
          </rPr>
          <t xml:space="preserve">
Source: IBM 2026 Form 10-K Page: Consolidated Balance Sheet 
Calculation: 800 + 2547 = 3347 USD Million</t>
        </r>
      </text>
    </comment>
    <comment ref="G13" authorId="0" shapeId="0" xr:uid="{51BE389B-8D74-4E14-AEA9-6F9C96010EF9}">
      <text>
        <r>
          <rPr>
            <b/>
            <sz val="9"/>
            <color indexed="81"/>
            <rFont val="Tahoma"/>
            <family val="2"/>
          </rPr>
          <t>KHUSHI:</t>
        </r>
        <r>
          <rPr>
            <sz val="9"/>
            <color indexed="81"/>
            <rFont val="Tahoma"/>
            <family val="2"/>
          </rPr>
          <t xml:space="preserve">
Source: Alphabet 2026 Form 10-K - Preffered Stock</t>
        </r>
      </text>
    </comment>
    <comment ref="G14" authorId="0" shapeId="0" xr:uid="{9B2297F7-6167-4026-8989-D19E36D29F4D}">
      <text>
        <r>
          <rPr>
            <b/>
            <sz val="9"/>
            <color indexed="81"/>
            <rFont val="Tahoma"/>
            <family val="2"/>
          </rPr>
          <t>KHUSHI:</t>
        </r>
        <r>
          <rPr>
            <sz val="9"/>
            <color indexed="81"/>
            <rFont val="Tahoma"/>
            <family val="2"/>
          </rPr>
          <t xml:space="preserve">
Source: Alphabet 2026 Form 10-K - Non Controlling Interests</t>
        </r>
      </text>
    </comment>
    <comment ref="I14" authorId="0" shapeId="0" xr:uid="{E0CDACA5-C598-419F-92A7-3A6F4D7E9EF0}">
      <text>
        <r>
          <rPr>
            <b/>
            <sz val="9"/>
            <color indexed="81"/>
            <rFont val="Tahoma"/>
            <family val="2"/>
          </rPr>
          <t>KHUSHI:</t>
        </r>
        <r>
          <rPr>
            <sz val="9"/>
            <color indexed="81"/>
            <rFont val="Tahoma"/>
            <family val="2"/>
          </rPr>
          <t xml:space="preserve">
Source: IBM 2026 Form 10-K - Non Controlling Interests</t>
        </r>
      </text>
    </comment>
    <comment ref="E15" authorId="0" shapeId="0" xr:uid="{34C2F284-73B3-43F4-BB42-7CFD86C25774}">
      <text>
        <r>
          <rPr>
            <b/>
            <sz val="9"/>
            <color indexed="81"/>
            <rFont val="Tahoma"/>
            <family val="2"/>
          </rPr>
          <t>KHUSHI:</t>
        </r>
        <r>
          <rPr>
            <sz val="9"/>
            <color indexed="81"/>
            <rFont val="Tahoma"/>
            <family val="2"/>
          </rPr>
          <t xml:space="preserve">
Source: Microsoft 2026 Form 10-K Metric: Cash &amp; Cash Equivalents Value: 20,935 USD Million</t>
        </r>
      </text>
    </comment>
    <comment ref="F15" authorId="0" shapeId="0" xr:uid="{7C8B04F4-6363-451A-8935-26FACF8FBF27}">
      <text>
        <r>
          <rPr>
            <b/>
            <sz val="9"/>
            <color indexed="81"/>
            <rFont val="Tahoma"/>
            <family val="2"/>
          </rPr>
          <t>KHUSHI:</t>
        </r>
        <r>
          <rPr>
            <sz val="9"/>
            <color indexed="81"/>
            <rFont val="Tahoma"/>
            <family val="2"/>
          </rPr>
          <t xml:space="preserve">
Source: Alphabet 2026 Form 10-K - Cash &amp; cash equivalents</t>
        </r>
      </text>
    </comment>
    <comment ref="G15" authorId="0" shapeId="0" xr:uid="{3A37B137-F5CB-4F66-B9A2-23C095A8422E}">
      <text>
        <r>
          <rPr>
            <b/>
            <sz val="9"/>
            <color indexed="81"/>
            <rFont val="Tahoma"/>
            <family val="2"/>
          </rPr>
          <t>KHUSHI:</t>
        </r>
        <r>
          <rPr>
            <sz val="9"/>
            <color indexed="81"/>
            <rFont val="Tahoma"/>
            <family val="2"/>
          </rPr>
          <t xml:space="preserve">
Source: Oracle 2026 Form 10-K - Cash &amp; cash equivalents</t>
        </r>
      </text>
    </comment>
    <comment ref="H15" authorId="0" shapeId="0" xr:uid="{92AFF164-33D1-46BE-8571-D24680AD8394}">
      <text>
        <r>
          <rPr>
            <b/>
            <sz val="9"/>
            <color indexed="81"/>
            <rFont val="Tahoma"/>
            <family val="2"/>
          </rPr>
          <t>KHUSHI:</t>
        </r>
        <r>
          <rPr>
            <sz val="9"/>
            <color indexed="81"/>
            <rFont val="Tahoma"/>
            <family val="2"/>
          </rPr>
          <t xml:space="preserve">
Source: Salesforce 2026 Form 10-K - Cash &amp; cash equivalents</t>
        </r>
      </text>
    </comment>
    <comment ref="I15" authorId="0" shapeId="0" xr:uid="{AA580989-66A4-4B87-BC16-49D6ACDC3611}">
      <text>
        <r>
          <rPr>
            <b/>
            <sz val="9"/>
            <color indexed="81"/>
            <rFont val="Tahoma"/>
            <family val="2"/>
          </rPr>
          <t>KHUSHI:</t>
        </r>
        <r>
          <rPr>
            <sz val="9"/>
            <color indexed="81"/>
            <rFont val="Tahoma"/>
            <family val="2"/>
          </rPr>
          <t xml:space="preserve">
Source: IBM 2026 Form 10-K - Cash &amp; cash equivalents</t>
        </r>
      </text>
    </comment>
    <comment ref="E16" authorId="0" shapeId="0" xr:uid="{CCC8EBEA-F65B-42AE-B570-1B3E3825A66A}">
      <text>
        <r>
          <rPr>
            <b/>
            <sz val="9"/>
            <color indexed="81"/>
            <rFont val="Tahoma"/>
            <family val="2"/>
          </rPr>
          <t>KHUSHI:</t>
        </r>
        <r>
          <rPr>
            <sz val="9"/>
            <color indexed="81"/>
            <rFont val="Tahoma"/>
            <family val="2"/>
          </rPr>
          <t xml:space="preserve">
Source: Microsoft 2026 Form 10-K Metric: Short-term Investments Value: 55,908 USD Million</t>
        </r>
      </text>
    </comment>
    <comment ref="F16" authorId="0" shapeId="0" xr:uid="{C240F6B4-B997-4135-88A3-7D7AA67F8A50}">
      <text>
        <r>
          <rPr>
            <b/>
            <sz val="9"/>
            <color indexed="81"/>
            <rFont val="Tahoma"/>
            <family val="2"/>
          </rPr>
          <t>KHUSHI:</t>
        </r>
        <r>
          <rPr>
            <sz val="9"/>
            <color indexed="81"/>
            <rFont val="Tahoma"/>
            <family val="2"/>
          </rPr>
          <t xml:space="preserve">
Source: Alphabet 2026 Form 10-K - Marketable Securities</t>
        </r>
      </text>
    </comment>
    <comment ref="G16" authorId="0" shapeId="0" xr:uid="{70245D50-B381-41CA-82F8-973B846065BB}">
      <text>
        <r>
          <rPr>
            <b/>
            <sz val="9"/>
            <color indexed="81"/>
            <rFont val="Tahoma"/>
            <family val="2"/>
          </rPr>
          <t>KHUSHI:</t>
        </r>
        <r>
          <rPr>
            <sz val="9"/>
            <color indexed="81"/>
            <rFont val="Tahoma"/>
            <family val="2"/>
          </rPr>
          <t xml:space="preserve">
Source: Oracle 2026 Form 10-K - Marketable Securities</t>
        </r>
      </text>
    </comment>
    <comment ref="H16" authorId="0" shapeId="0" xr:uid="{F82C0FB6-821D-4647-A3BF-F2DCA24B5698}">
      <text>
        <r>
          <rPr>
            <b/>
            <sz val="9"/>
            <color indexed="81"/>
            <rFont val="Tahoma"/>
            <family val="2"/>
          </rPr>
          <t>KHUSHI:</t>
        </r>
        <r>
          <rPr>
            <sz val="9"/>
            <color indexed="81"/>
            <rFont val="Tahoma"/>
            <family val="2"/>
          </rPr>
          <t xml:space="preserve">
Source: Salesforce 2026 Form 10-K - Marketable Securities</t>
        </r>
      </text>
    </comment>
    <comment ref="I16" authorId="0" shapeId="0" xr:uid="{9FAC0BAF-ADFC-4101-BF9C-F4E1BBE06D9D}">
      <text>
        <r>
          <rPr>
            <b/>
            <sz val="9"/>
            <color indexed="81"/>
            <rFont val="Tahoma"/>
            <family val="2"/>
          </rPr>
          <t>KHUSHI:</t>
        </r>
        <r>
          <rPr>
            <sz val="9"/>
            <color indexed="81"/>
            <rFont val="Tahoma"/>
            <family val="2"/>
          </rPr>
          <t xml:space="preserve">
Form 10-K Page: Consolidated Balance Sheet 
Calculation: 830 + 2112 + 7344 = 10286 USD Million</t>
        </r>
      </text>
    </comment>
  </commentList>
</comments>
</file>

<file path=xl/sharedStrings.xml><?xml version="1.0" encoding="utf-8"?>
<sst xmlns="http://schemas.openxmlformats.org/spreadsheetml/2006/main" count="134" uniqueCount="92">
  <si>
    <t>Company</t>
  </si>
  <si>
    <t>Country</t>
  </si>
  <si>
    <t>Share Price (31 Jul)</t>
  </si>
  <si>
    <t>Market Cap</t>
  </si>
  <si>
    <t>EV</t>
  </si>
  <si>
    <t>EBITDA 2026E</t>
  </si>
  <si>
    <t>P/E</t>
  </si>
  <si>
    <t>Microsoft</t>
  </si>
  <si>
    <t>Alphabet</t>
  </si>
  <si>
    <t>Oracle</t>
  </si>
  <si>
    <t>Salesforce</t>
  </si>
  <si>
    <t>IBM</t>
  </si>
  <si>
    <t>India</t>
  </si>
  <si>
    <t>Infosys</t>
  </si>
  <si>
    <t>TCS</t>
  </si>
  <si>
    <t>Wipro</t>
  </si>
  <si>
    <t>EV Bridge Items</t>
  </si>
  <si>
    <t>Market Capitalization</t>
  </si>
  <si>
    <t>Enterprise Value</t>
  </si>
  <si>
    <t>Valuation Date</t>
  </si>
  <si>
    <t>FY27E EBITDA</t>
  </si>
  <si>
    <t>FY28E EBITDA</t>
  </si>
  <si>
    <t>MICROSOFT</t>
  </si>
  <si>
    <t>Add: Total Debt</t>
  </si>
  <si>
    <t>Add: Lease Liabilities</t>
  </si>
  <si>
    <t>Add: Preferred Stock</t>
  </si>
  <si>
    <t>Add: Minority Interest</t>
  </si>
  <si>
    <t>Less: Cash &amp; Cash Equivalents</t>
  </si>
  <si>
    <t>Less: Non-operating Investments</t>
  </si>
  <si>
    <t>FY29E EBITDA</t>
  </si>
  <si>
    <t>Calendarised EBITDA (2026E)</t>
  </si>
  <si>
    <t>Calendarised EBITDA (2027E)</t>
  </si>
  <si>
    <t>EV/EBITDA 2026E</t>
  </si>
  <si>
    <t>EV/EBITDA 2027E</t>
  </si>
  <si>
    <t>EBITDA 2027E</t>
  </si>
  <si>
    <t>Weight (Earlier FY)</t>
  </si>
  <si>
    <t>Weight (Later FY)</t>
  </si>
  <si>
    <t>COMAPARABLE COMPANY VALUATION</t>
  </si>
  <si>
    <t>EV/EBITDA &amp; P/E MULTIPLE ANALYSIS</t>
  </si>
  <si>
    <t>Khushi Rampal</t>
  </si>
  <si>
    <t>Subject</t>
  </si>
  <si>
    <t>Values</t>
  </si>
  <si>
    <t>Represented in $US (in Millions)</t>
  </si>
  <si>
    <t>(Unless Specified)</t>
  </si>
  <si>
    <t>ALPHABET (GOOGL)</t>
  </si>
  <si>
    <t>Not Applicable</t>
  </si>
  <si>
    <t>ORACLE</t>
  </si>
  <si>
    <t>SALESFORCE</t>
  </si>
  <si>
    <t>FY End (as per comapany data)</t>
  </si>
  <si>
    <t>Note:</t>
  </si>
  <si>
    <t>Companies Evaluated</t>
  </si>
  <si>
    <t>USA</t>
  </si>
  <si>
    <t>Metric</t>
  </si>
  <si>
    <t>Overall</t>
  </si>
  <si>
    <t>Average EV/EBITDA 2026E</t>
  </si>
  <si>
    <t>Median EV/EBITDA 2026E</t>
  </si>
  <si>
    <t>Average EV/EBITDA 2027E</t>
  </si>
  <si>
    <t>Median EV/EBITDA 2027E</t>
  </si>
  <si>
    <t>Average P/E</t>
  </si>
  <si>
    <t>Median P/E</t>
  </si>
  <si>
    <t>EV/EBITDA Comparison (2026E vs 2027E) chart</t>
  </si>
  <si>
    <r>
      <rPr>
        <u/>
        <sz val="12"/>
        <color theme="1"/>
        <rFont val="Calibri"/>
        <family val="2"/>
      </rPr>
      <t>Inference</t>
    </r>
    <r>
      <rPr>
        <sz val="12"/>
        <color theme="1"/>
        <rFont val="Calibri"/>
        <family val="2"/>
      </rPr>
      <t>: Alphabet trades at the highest EV/EBITDA multiple in 2026E, followed closely by Microsoft. Oracle and Salesforce have the lowest valuation multiples, indicating relatively lower EBITDA-based valuations. Across all peers, EV/EBITDA declines in 2027E, reflecting expected EBITDA growth and multiple compression.</t>
    </r>
  </si>
  <si>
    <t>1)</t>
  </si>
  <si>
    <t>2)</t>
  </si>
  <si>
    <t>P/E  Comparison Chart</t>
  </si>
  <si>
    <r>
      <rPr>
        <u/>
        <sz val="12"/>
        <color theme="1"/>
        <rFont val="Calibri"/>
        <family val="2"/>
      </rPr>
      <t>Inference</t>
    </r>
    <r>
      <rPr>
        <sz val="12"/>
        <color theme="1"/>
        <rFont val="Calibri"/>
        <family val="2"/>
      </rPr>
      <t>: Oracle trades at the highest P/E multiple (28.17×), followed by Microsoft (25.71×) and Alphabet (25.32×), reflecting a stronger valuation premium driven by higher earnings growth expectations. IBM is moderately valued at 22.73×, while Salesforce and the three Indian IT companies (Wipro, Infosys and TCS) trade in the 12.5×–14.6× range, indicating comparatively lower earnings-based valuations as compared to the other companies in the peer group.</t>
    </r>
  </si>
  <si>
    <t>3)</t>
  </si>
  <si>
    <t>The chart shows a decline in EV/EBITDA multiples from 2026E to 2027E across all peer companies, indicating that EBITDA is expected to grow faster than enterprise value. Alphabet (14.06×) and Microsoft (13.32×) remain the highest-valued companies in 2026E, reflecting their premium growth expectations, while Oracle records the sharpest multiple compression (9.02× to 6.27×), suggesting the strongest forecast improvement in operating earnings.</t>
  </si>
  <si>
    <t>EV/EBITDA Multiple Compression Analysis (2026E–2027E)</t>
  </si>
  <si>
    <t>Average Valuation Multiples: India vs USA</t>
  </si>
  <si>
    <t>The benchmark comparison shows that US technology companies trade at higher average valuation multiples than Indian IT peers, particularly on a P/E basis (23.07× vs 13.29×), reflecting a stronger earnings valuation premium. While the average EV/EBITDA multiple declines from 2026E to 2027E for both regions, the gap narrows in 2027E (9.47× for USA vs 9.35× for India), indicating relatively similar forward operating earnings growth expectations.</t>
  </si>
  <si>
    <t>4)</t>
  </si>
  <si>
    <t>EQUITY ANALYSIS &amp; Business Valuation</t>
  </si>
  <si>
    <t>SUBMITTED By</t>
  </si>
  <si>
    <t xml:space="preserve">Submitted to </t>
  </si>
  <si>
    <t xml:space="preserve">Prof. pulin aggarwal </t>
  </si>
  <si>
    <t>US PEER COMPANIES</t>
  </si>
  <si>
    <r>
      <rPr>
        <u/>
        <sz val="12"/>
        <color theme="1"/>
        <rFont val="Calibri"/>
        <family val="2"/>
      </rPr>
      <t>Note:</t>
    </r>
    <r>
      <rPr>
        <sz val="12"/>
        <color theme="1"/>
        <rFont val="Calibri"/>
        <family val="2"/>
      </rPr>
      <t xml:space="preserve"> Market capitalization is based on the closing share price as of 31 July 2026. Enterprise Value is derived using the EV Bridge methodology, while EBITDA forecasts are calendarized to a December year-end where applicable.</t>
    </r>
  </si>
  <si>
    <t>Note: Market capitalization and share prices are based on the closing market price as of 31 July 2026. Forward EV/EBITDA and P/E trading multiples for the Indian peer companies have been sourced from publicly available market data for valuation benchmarking</t>
  </si>
  <si>
    <t>CALANDARISATION OF EBITDA</t>
  </si>
  <si>
    <t>MICROSOFT (MSFT)</t>
  </si>
  <si>
    <t>ORACLE (ORCL)</t>
  </si>
  <si>
    <t>SALESFORCE (CRM)</t>
  </si>
  <si>
    <t>ENTERPRISE VALUE (EV) BRIDGE</t>
  </si>
  <si>
    <t>PARTICULARS</t>
  </si>
  <si>
    <t>EV = MARKET CAP + DEBT + LEASES + PREFFERED STOCK + MI - CASH - INVESTMENTS</t>
  </si>
  <si>
    <t>Note: Enterprise Value has been derived using the latest balance sheet items and represents the total value of the operating business used for EV/EBITDA valuation.</t>
  </si>
  <si>
    <r>
      <rPr>
        <u/>
        <sz val="11"/>
        <color theme="1"/>
        <rFont val="Calibri"/>
        <family val="2"/>
      </rPr>
      <t>Calendarisation Methodology:</t>
    </r>
    <r>
      <rPr>
        <sz val="11"/>
        <color theme="1"/>
        <rFont val="Calibri"/>
        <family val="2"/>
      </rPr>
      <t xml:space="preserve"> Trading comparables were valued as of 31 July 2026. EBITDA estimates were aligned to the calendar year ending December 2026. Companies with non-December fiscal year ends were calendarised using the 5/12 and 7/12 weighting approach, while companies with a 31 December fiscal year end required no calendarisation adjustment.</t>
    </r>
  </si>
  <si>
    <t>FINAL COMPARABLE COMPANIES</t>
  </si>
  <si>
    <t>Executive Summary: The final comparable company set consists of five US technology companies and three Indian IT peers. Forward EV/EBITDA and P/E trading multiples have been standardized to enable consistent valuation benchmarking across the peer group.</t>
  </si>
  <si>
    <t>PEER GROUP STATS</t>
  </si>
  <si>
    <t>VALUATION BENCHMARKING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</si>
</sst>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Algerian"/>
      <family val="5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24"/>
      <color theme="1"/>
      <name val="Algerian"/>
      <family val="5"/>
    </font>
    <font>
      <sz val="16"/>
      <color theme="1"/>
      <name val="Algerian"/>
      <family val="5"/>
    </font>
    <font>
      <sz val="11"/>
      <color theme="1"/>
      <name val="Calibri"/>
      <family val="2"/>
    </font>
    <font>
      <u/>
      <sz val="12"/>
      <color theme="1"/>
      <name val="Calibri"/>
      <family val="2"/>
    </font>
    <font>
      <b/>
      <sz val="28"/>
      <color theme="1"/>
      <name val="Calibri"/>
      <family val="2"/>
    </font>
    <font>
      <b/>
      <sz val="26"/>
      <color theme="1"/>
      <name val="Calibri"/>
      <family val="2"/>
    </font>
    <font>
      <sz val="12"/>
      <color theme="3" tint="0.249977111117893"/>
      <name val="Calibri"/>
      <family val="2"/>
    </font>
    <font>
      <sz val="12"/>
      <color rgb="FF002060"/>
      <name val="Calibri"/>
      <family val="2"/>
    </font>
    <font>
      <sz val="12"/>
      <color theme="6" tint="-0.249977111117893"/>
      <name val="Calibri"/>
      <family val="2"/>
    </font>
    <font>
      <i/>
      <sz val="12"/>
      <color theme="1"/>
      <name val="Calibri"/>
      <family val="2"/>
    </font>
    <font>
      <u/>
      <sz val="11"/>
      <color theme="1"/>
      <name val="Calibri"/>
      <family val="2"/>
    </font>
    <font>
      <b/>
      <sz val="11"/>
      <color theme="1"/>
      <name val="Calibri"/>
      <family val="2"/>
    </font>
    <font>
      <sz val="10"/>
      <color theme="1"/>
      <name val="Algerian"/>
      <family val="5"/>
    </font>
  </fonts>
  <fills count="9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44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84">
    <xf numFmtId="0" fontId="0" fillId="0" borderId="0" xfId="0"/>
    <xf numFmtId="0" fontId="4" fillId="2" borderId="0" xfId="0" applyFont="1" applyFill="1"/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15" fontId="4" fillId="2" borderId="8" xfId="0" applyNumberFormat="1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6" fillId="0" borderId="0" xfId="0" applyFont="1"/>
    <xf numFmtId="0" fontId="9" fillId="0" borderId="0" xfId="0" applyFont="1"/>
    <xf numFmtId="0" fontId="6" fillId="0" borderId="18" xfId="0" applyFont="1" applyBorder="1" applyAlignment="1">
      <alignment horizontal="right"/>
    </xf>
    <xf numFmtId="0" fontId="9" fillId="0" borderId="0" xfId="0" applyFont="1" applyAlignment="1">
      <alignment horizontal="right"/>
    </xf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1" xfId="0" applyFont="1" applyFill="1" applyBorder="1"/>
    <xf numFmtId="0" fontId="4" fillId="2" borderId="16" xfId="0" applyFont="1" applyFill="1" applyBorder="1"/>
    <xf numFmtId="0" fontId="4" fillId="2" borderId="13" xfId="0" applyFont="1" applyFill="1" applyBorder="1"/>
    <xf numFmtId="0" fontId="4" fillId="2" borderId="14" xfId="0" applyFont="1" applyFill="1" applyBorder="1"/>
    <xf numFmtId="0" fontId="4" fillId="2" borderId="15" xfId="0" applyFont="1" applyFill="1" applyBorder="1"/>
    <xf numFmtId="0" fontId="4" fillId="2" borderId="10" xfId="0" applyFont="1" applyFill="1" applyBorder="1"/>
    <xf numFmtId="0" fontId="4" fillId="2" borderId="11" xfId="0" applyFont="1" applyFill="1" applyBorder="1"/>
    <xf numFmtId="0" fontId="4" fillId="2" borderId="12" xfId="0" applyFont="1" applyFill="1" applyBorder="1"/>
    <xf numFmtId="0" fontId="5" fillId="4" borderId="30" xfId="0" applyFont="1" applyFill="1" applyBorder="1" applyAlignment="1">
      <alignment horizontal="center" vertical="center" wrapText="1"/>
    </xf>
    <xf numFmtId="0" fontId="5" fillId="4" borderId="31" xfId="0" applyFont="1" applyFill="1" applyBorder="1" applyAlignment="1">
      <alignment horizontal="center" vertical="center" wrapText="1"/>
    </xf>
    <xf numFmtId="0" fontId="5" fillId="4" borderId="32" xfId="0" applyFont="1" applyFill="1" applyBorder="1" applyAlignment="1">
      <alignment horizontal="center" vertical="center" wrapText="1"/>
    </xf>
    <xf numFmtId="0" fontId="6" fillId="0" borderId="18" xfId="0" applyFont="1" applyBorder="1" applyAlignment="1">
      <alignment vertical="center" wrapText="1"/>
    </xf>
    <xf numFmtId="164" fontId="6" fillId="0" borderId="18" xfId="1" applyNumberFormat="1" applyFont="1" applyBorder="1"/>
    <xf numFmtId="164" fontId="6" fillId="0" borderId="18" xfId="0" applyNumberFormat="1" applyFont="1" applyBorder="1" applyAlignment="1">
      <alignment horizontal="center" vertical="center" wrapText="1"/>
    </xf>
    <xf numFmtId="3" fontId="6" fillId="0" borderId="18" xfId="0" applyNumberFormat="1" applyFont="1" applyBorder="1" applyAlignment="1">
      <alignment horizontal="right"/>
    </xf>
    <xf numFmtId="0" fontId="6" fillId="0" borderId="18" xfId="0" applyFont="1" applyBorder="1"/>
    <xf numFmtId="3" fontId="6" fillId="0" borderId="18" xfId="0" applyNumberFormat="1" applyFont="1" applyBorder="1" applyAlignment="1">
      <alignment horizontal="right" vertical="center" wrapText="1"/>
    </xf>
    <xf numFmtId="0" fontId="6" fillId="0" borderId="5" xfId="0" applyFont="1" applyBorder="1" applyAlignment="1">
      <alignment vertical="center" wrapText="1"/>
    </xf>
    <xf numFmtId="0" fontId="6" fillId="0" borderId="33" xfId="0" applyFont="1" applyBorder="1" applyAlignment="1">
      <alignment vertical="center" wrapText="1"/>
    </xf>
    <xf numFmtId="164" fontId="6" fillId="0" borderId="33" xfId="1" applyNumberFormat="1" applyFont="1" applyBorder="1"/>
    <xf numFmtId="164" fontId="6" fillId="0" borderId="33" xfId="0" applyNumberFormat="1" applyFont="1" applyBorder="1" applyAlignment="1">
      <alignment horizontal="center" vertical="center" wrapText="1"/>
    </xf>
    <xf numFmtId="3" fontId="6" fillId="0" borderId="33" xfId="0" applyNumberFormat="1" applyFont="1" applyBorder="1" applyAlignment="1">
      <alignment horizontal="right"/>
    </xf>
    <xf numFmtId="0" fontId="6" fillId="0" borderId="6" xfId="0" applyFont="1" applyBorder="1" applyAlignment="1">
      <alignment vertical="center" wrapText="1"/>
    </xf>
    <xf numFmtId="0" fontId="6" fillId="0" borderId="7" xfId="0" applyFont="1" applyBorder="1" applyAlignment="1">
      <alignment vertical="center" wrapText="1"/>
    </xf>
    <xf numFmtId="0" fontId="6" fillId="0" borderId="17" xfId="0" applyFont="1" applyBorder="1" applyAlignment="1">
      <alignment vertical="center" wrapText="1"/>
    </xf>
    <xf numFmtId="0" fontId="6" fillId="0" borderId="34" xfId="0" applyFont="1" applyBorder="1" applyAlignment="1">
      <alignment vertical="center" wrapText="1"/>
    </xf>
    <xf numFmtId="164" fontId="6" fillId="0" borderId="34" xfId="1" applyNumberFormat="1" applyFont="1" applyBorder="1"/>
    <xf numFmtId="164" fontId="6" fillId="0" borderId="34" xfId="0" applyNumberFormat="1" applyFont="1" applyBorder="1" applyAlignment="1">
      <alignment horizontal="center" vertical="center" wrapText="1"/>
    </xf>
    <xf numFmtId="3" fontId="6" fillId="0" borderId="34" xfId="0" applyNumberFormat="1" applyFont="1" applyBorder="1" applyAlignment="1">
      <alignment horizontal="right" vertical="center" wrapText="1"/>
    </xf>
    <xf numFmtId="0" fontId="6" fillId="0" borderId="34" xfId="0" applyFont="1" applyBorder="1"/>
    <xf numFmtId="3" fontId="6" fillId="0" borderId="34" xfId="0" applyNumberFormat="1" applyFont="1" applyBorder="1"/>
    <xf numFmtId="43" fontId="13" fillId="0" borderId="33" xfId="0" applyNumberFormat="1" applyFont="1" applyBorder="1" applyAlignment="1">
      <alignment horizontal="center" vertical="center" wrapText="1"/>
    </xf>
    <xf numFmtId="43" fontId="13" fillId="0" borderId="18" xfId="0" applyNumberFormat="1" applyFont="1" applyBorder="1" applyAlignment="1">
      <alignment horizontal="center" vertical="center" wrapText="1"/>
    </xf>
    <xf numFmtId="43" fontId="13" fillId="0" borderId="34" xfId="0" applyNumberFormat="1" applyFont="1" applyBorder="1" applyAlignment="1">
      <alignment horizontal="center" vertical="center" wrapText="1"/>
    </xf>
    <xf numFmtId="43" fontId="14" fillId="0" borderId="33" xfId="0" applyNumberFormat="1" applyFont="1" applyBorder="1"/>
    <xf numFmtId="43" fontId="14" fillId="0" borderId="18" xfId="0" applyNumberFormat="1" applyFont="1" applyBorder="1"/>
    <xf numFmtId="43" fontId="14" fillId="0" borderId="34" xfId="0" applyNumberFormat="1" applyFont="1" applyBorder="1"/>
    <xf numFmtId="0" fontId="15" fillId="0" borderId="6" xfId="0" applyFont="1" applyBorder="1" applyAlignment="1">
      <alignment vertical="center" wrapText="1"/>
    </xf>
    <xf numFmtId="0" fontId="15" fillId="0" borderId="8" xfId="0" applyFont="1" applyBorder="1"/>
    <xf numFmtId="2" fontId="15" fillId="0" borderId="8" xfId="0" applyNumberFormat="1" applyFont="1" applyBorder="1"/>
    <xf numFmtId="0" fontId="15" fillId="0" borderId="9" xfId="0" applyFont="1" applyBorder="1"/>
    <xf numFmtId="16" fontId="6" fillId="0" borderId="18" xfId="0" applyNumberFormat="1" applyFont="1" applyBorder="1" applyAlignment="1">
      <alignment vertical="center" wrapText="1"/>
    </xf>
    <xf numFmtId="16" fontId="6" fillId="0" borderId="18" xfId="0" applyNumberFormat="1" applyFont="1" applyBorder="1"/>
    <xf numFmtId="164" fontId="6" fillId="0" borderId="18" xfId="1" applyNumberFormat="1" applyFont="1" applyBorder="1" applyAlignment="1">
      <alignment vertical="center" wrapText="1"/>
    </xf>
    <xf numFmtId="0" fontId="16" fillId="0" borderId="18" xfId="0" applyFont="1" applyBorder="1" applyAlignment="1">
      <alignment horizontal="right"/>
    </xf>
    <xf numFmtId="15" fontId="6" fillId="0" borderId="33" xfId="0" applyNumberFormat="1" applyFont="1" applyBorder="1" applyAlignment="1">
      <alignment vertical="center" wrapText="1"/>
    </xf>
    <xf numFmtId="15" fontId="6" fillId="0" borderId="6" xfId="0" applyNumberFormat="1" applyFont="1" applyBorder="1" applyAlignment="1">
      <alignment vertical="center" wrapText="1"/>
    </xf>
    <xf numFmtId="16" fontId="6" fillId="0" borderId="8" xfId="0" applyNumberFormat="1" applyFont="1" applyBorder="1"/>
    <xf numFmtId="164" fontId="6" fillId="0" borderId="8" xfId="1" applyNumberFormat="1" applyFont="1" applyBorder="1" applyAlignment="1">
      <alignment vertical="center" wrapText="1"/>
    </xf>
    <xf numFmtId="164" fontId="6" fillId="0" borderId="8" xfId="1" applyNumberFormat="1" applyFont="1" applyBorder="1"/>
    <xf numFmtId="0" fontId="16" fillId="0" borderId="8" xfId="0" applyFont="1" applyBorder="1" applyAlignment="1">
      <alignment horizontal="right"/>
    </xf>
    <xf numFmtId="0" fontId="6" fillId="5" borderId="17" xfId="0" applyFont="1" applyFill="1" applyBorder="1" applyAlignment="1">
      <alignment vertical="center" wrapText="1"/>
    </xf>
    <xf numFmtId="164" fontId="6" fillId="5" borderId="34" xfId="1" applyNumberFormat="1" applyFont="1" applyFill="1" applyBorder="1"/>
    <xf numFmtId="164" fontId="6" fillId="5" borderId="9" xfId="0" applyNumberFormat="1" applyFont="1" applyFill="1" applyBorder="1"/>
    <xf numFmtId="0" fontId="6" fillId="5" borderId="38" xfId="0" applyFont="1" applyFill="1" applyBorder="1" applyAlignment="1">
      <alignment vertical="center" wrapText="1"/>
    </xf>
    <xf numFmtId="164" fontId="6" fillId="5" borderId="39" xfId="1" applyNumberFormat="1" applyFont="1" applyFill="1" applyBorder="1" applyAlignment="1">
      <alignment vertical="center" wrapText="1"/>
    </xf>
    <xf numFmtId="164" fontId="6" fillId="5" borderId="39" xfId="1" applyNumberFormat="1" applyFont="1" applyFill="1" applyBorder="1"/>
    <xf numFmtId="164" fontId="6" fillId="5" borderId="40" xfId="0" applyNumberFormat="1" applyFont="1" applyFill="1" applyBorder="1"/>
    <xf numFmtId="0" fontId="16" fillId="0" borderId="34" xfId="0" applyFont="1" applyBorder="1" applyAlignment="1">
      <alignment horizontal="right"/>
    </xf>
    <xf numFmtId="0" fontId="16" fillId="0" borderId="9" xfId="0" applyFont="1" applyBorder="1" applyAlignment="1">
      <alignment horizontal="right"/>
    </xf>
    <xf numFmtId="164" fontId="6" fillId="6" borderId="18" xfId="1" applyNumberFormat="1" applyFont="1" applyFill="1" applyBorder="1" applyAlignment="1">
      <alignment vertical="center" wrapText="1"/>
    </xf>
    <xf numFmtId="1" fontId="6" fillId="6" borderId="18" xfId="1" applyNumberFormat="1" applyFont="1" applyFill="1" applyBorder="1" applyAlignment="1">
      <alignment vertical="center" wrapText="1"/>
    </xf>
    <xf numFmtId="164" fontId="6" fillId="7" borderId="18" xfId="1" applyNumberFormat="1" applyFont="1" applyFill="1" applyBorder="1" applyAlignment="1">
      <alignment vertical="center" wrapText="1"/>
    </xf>
    <xf numFmtId="0" fontId="6" fillId="6" borderId="7" xfId="0" applyFont="1" applyFill="1" applyBorder="1" applyAlignment="1">
      <alignment vertical="center" wrapText="1"/>
    </xf>
    <xf numFmtId="164" fontId="6" fillId="6" borderId="8" xfId="1" applyNumberFormat="1" applyFont="1" applyFill="1" applyBorder="1" applyAlignment="1">
      <alignment vertical="center" wrapText="1"/>
    </xf>
    <xf numFmtId="1" fontId="6" fillId="6" borderId="8" xfId="1" applyNumberFormat="1" applyFont="1" applyFill="1" applyBorder="1" applyAlignment="1">
      <alignment vertical="center" wrapText="1"/>
    </xf>
    <xf numFmtId="0" fontId="6" fillId="7" borderId="7" xfId="0" applyFont="1" applyFill="1" applyBorder="1" applyAlignment="1">
      <alignment vertical="center" wrapText="1"/>
    </xf>
    <xf numFmtId="164" fontId="6" fillId="7" borderId="8" xfId="1" applyNumberFormat="1" applyFont="1" applyFill="1" applyBorder="1" applyAlignment="1">
      <alignment vertical="center" wrapText="1"/>
    </xf>
    <xf numFmtId="0" fontId="6" fillId="7" borderId="41" xfId="0" applyFont="1" applyFill="1" applyBorder="1" applyAlignment="1">
      <alignment vertical="center" wrapText="1"/>
    </xf>
    <xf numFmtId="164" fontId="6" fillId="7" borderId="42" xfId="1" applyNumberFormat="1" applyFont="1" applyFill="1" applyBorder="1" applyAlignment="1">
      <alignment vertical="center" wrapText="1"/>
    </xf>
    <xf numFmtId="164" fontId="6" fillId="7" borderId="43" xfId="1" applyNumberFormat="1" applyFont="1" applyFill="1" applyBorder="1" applyAlignment="1">
      <alignment vertical="center" wrapText="1"/>
    </xf>
    <xf numFmtId="0" fontId="6" fillId="8" borderId="30" xfId="0" applyFont="1" applyFill="1" applyBorder="1" applyAlignment="1">
      <alignment vertical="center" wrapText="1"/>
    </xf>
    <xf numFmtId="164" fontId="6" fillId="8" borderId="31" xfId="1" applyNumberFormat="1" applyFont="1" applyFill="1" applyBorder="1" applyAlignment="1">
      <alignment vertical="center" wrapText="1"/>
    </xf>
    <xf numFmtId="164" fontId="6" fillId="8" borderId="32" xfId="1" applyNumberFormat="1" applyFont="1" applyFill="1" applyBorder="1" applyAlignment="1">
      <alignment vertical="center" wrapText="1"/>
    </xf>
    <xf numFmtId="0" fontId="6" fillId="6" borderId="38" xfId="0" applyFont="1" applyFill="1" applyBorder="1" applyAlignment="1">
      <alignment vertical="center" wrapText="1"/>
    </xf>
    <xf numFmtId="164" fontId="6" fillId="6" borderId="39" xfId="1" applyNumberFormat="1" applyFont="1" applyFill="1" applyBorder="1" applyAlignment="1">
      <alignment vertical="center" wrapText="1"/>
    </xf>
    <xf numFmtId="164" fontId="6" fillId="6" borderId="40" xfId="1" applyNumberFormat="1" applyFont="1" applyFill="1" applyBorder="1" applyAlignment="1">
      <alignment vertical="center" wrapText="1"/>
    </xf>
    <xf numFmtId="0" fontId="5" fillId="0" borderId="30" xfId="0" applyFont="1" applyBorder="1" applyAlignment="1">
      <alignment horizontal="center" vertical="center" wrapText="1"/>
    </xf>
    <xf numFmtId="0" fontId="5" fillId="0" borderId="31" xfId="0" applyFont="1" applyBorder="1" applyAlignment="1">
      <alignment horizontal="center" vertical="center" wrapText="1"/>
    </xf>
    <xf numFmtId="0" fontId="5" fillId="0" borderId="32" xfId="0" applyFont="1" applyBorder="1" applyAlignment="1">
      <alignment horizontal="center" vertical="center" wrapText="1"/>
    </xf>
    <xf numFmtId="0" fontId="5" fillId="4" borderId="10" xfId="0" applyFont="1" applyFill="1" applyBorder="1" applyAlignment="1">
      <alignment horizontal="center" vertical="center" wrapText="1"/>
    </xf>
    <xf numFmtId="0" fontId="5" fillId="4" borderId="11" xfId="0" applyFont="1" applyFill="1" applyBorder="1" applyAlignment="1">
      <alignment horizontal="center" vertical="center" wrapText="1"/>
    </xf>
    <xf numFmtId="0" fontId="5" fillId="4" borderId="12" xfId="0" applyFont="1" applyFill="1" applyBorder="1" applyAlignment="1">
      <alignment horizontal="center" vertical="center" wrapText="1"/>
    </xf>
    <xf numFmtId="43" fontId="6" fillId="0" borderId="18" xfId="0" applyNumberFormat="1" applyFont="1" applyBorder="1" applyAlignment="1">
      <alignment vertical="center" wrapText="1"/>
    </xf>
    <xf numFmtId="43" fontId="6" fillId="0" borderId="33" xfId="0" applyNumberFormat="1" applyFont="1" applyBorder="1" applyAlignment="1">
      <alignment vertical="center" wrapText="1"/>
    </xf>
    <xf numFmtId="0" fontId="6" fillId="0" borderId="8" xfId="0" applyFont="1" applyBorder="1" applyAlignment="1">
      <alignment vertical="center" wrapText="1"/>
    </xf>
    <xf numFmtId="0" fontId="6" fillId="0" borderId="9" xfId="0" applyFont="1" applyBorder="1" applyAlignment="1">
      <alignment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33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6" fillId="0" borderId="34" xfId="0" applyFont="1" applyBorder="1" applyAlignment="1">
      <alignment horizontal="center" vertical="center" wrapText="1"/>
    </xf>
    <xf numFmtId="2" fontId="9" fillId="0" borderId="18" xfId="0" applyNumberFormat="1" applyFont="1" applyBorder="1" applyAlignment="1">
      <alignment vertical="center" wrapText="1"/>
    </xf>
    <xf numFmtId="43" fontId="9" fillId="0" borderId="18" xfId="0" applyNumberFormat="1" applyFont="1" applyBorder="1" applyAlignment="1">
      <alignment vertical="center" wrapText="1"/>
    </xf>
    <xf numFmtId="0" fontId="9" fillId="0" borderId="18" xfId="0" applyFont="1" applyBorder="1" applyAlignment="1">
      <alignment vertical="center" wrapText="1"/>
    </xf>
    <xf numFmtId="0" fontId="9" fillId="0" borderId="7" xfId="0" applyFont="1" applyBorder="1" applyAlignment="1">
      <alignment horizontal="center" vertical="center" wrapText="1"/>
    </xf>
    <xf numFmtId="43" fontId="9" fillId="0" borderId="8" xfId="0" applyNumberFormat="1" applyFont="1" applyBorder="1" applyAlignment="1">
      <alignment vertical="center" wrapText="1"/>
    </xf>
    <xf numFmtId="0" fontId="9" fillId="0" borderId="8" xfId="0" applyFont="1" applyBorder="1" applyAlignment="1">
      <alignment vertical="center" wrapText="1"/>
    </xf>
    <xf numFmtId="0" fontId="9" fillId="0" borderId="17" xfId="0" applyFont="1" applyBorder="1" applyAlignment="1">
      <alignment horizontal="center" vertical="center" wrapText="1"/>
    </xf>
    <xf numFmtId="2" fontId="9" fillId="0" borderId="34" xfId="0" applyNumberFormat="1" applyFont="1" applyBorder="1"/>
    <xf numFmtId="0" fontId="9" fillId="0" borderId="34" xfId="0" applyFont="1" applyBorder="1"/>
    <xf numFmtId="0" fontId="9" fillId="0" borderId="9" xfId="0" applyFont="1" applyBorder="1"/>
    <xf numFmtId="0" fontId="9" fillId="0" borderId="38" xfId="0" applyFont="1" applyBorder="1" applyAlignment="1">
      <alignment horizontal="center" vertical="center" wrapText="1"/>
    </xf>
    <xf numFmtId="2" fontId="9" fillId="0" borderId="39" xfId="0" applyNumberFormat="1" applyFont="1" applyBorder="1" applyAlignment="1">
      <alignment vertical="center" wrapText="1"/>
    </xf>
    <xf numFmtId="43" fontId="9" fillId="0" borderId="39" xfId="0" applyNumberFormat="1" applyFont="1" applyBorder="1" applyAlignment="1">
      <alignment vertical="center" wrapText="1"/>
    </xf>
    <xf numFmtId="43" fontId="9" fillId="0" borderId="40" xfId="0" applyNumberFormat="1" applyFont="1" applyBorder="1" applyAlignment="1">
      <alignment vertical="center" wrapText="1"/>
    </xf>
    <xf numFmtId="0" fontId="18" fillId="0" borderId="30" xfId="0" applyFont="1" applyBorder="1" applyAlignment="1">
      <alignment horizontal="center" vertical="center" wrapText="1"/>
    </xf>
    <xf numFmtId="0" fontId="18" fillId="0" borderId="31" xfId="0" applyFont="1" applyBorder="1" applyAlignment="1">
      <alignment horizontal="center" vertical="center" wrapText="1"/>
    </xf>
    <xf numFmtId="0" fontId="18" fillId="0" borderId="32" xfId="0" applyFont="1" applyBorder="1" applyAlignment="1">
      <alignment horizontal="center" vertical="center" wrapText="1"/>
    </xf>
    <xf numFmtId="0" fontId="19" fillId="2" borderId="8" xfId="0" applyFont="1" applyFill="1" applyBorder="1" applyAlignment="1">
      <alignment horizontal="center"/>
    </xf>
    <xf numFmtId="0" fontId="19" fillId="2" borderId="9" xfId="0" applyFont="1" applyFill="1" applyBorder="1" applyAlignment="1">
      <alignment horizontal="center"/>
    </xf>
    <xf numFmtId="0" fontId="12" fillId="3" borderId="10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/>
    </xf>
    <xf numFmtId="0" fontId="12" fillId="3" borderId="12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0" xfId="0" applyFont="1" applyFill="1" applyAlignment="1">
      <alignment horizontal="center" vertical="center"/>
    </xf>
    <xf numFmtId="0" fontId="12" fillId="3" borderId="16" xfId="0" applyFont="1" applyFill="1" applyBorder="1" applyAlignment="1">
      <alignment horizontal="center" vertical="center"/>
    </xf>
    <xf numFmtId="0" fontId="12" fillId="3" borderId="13" xfId="0" applyFont="1" applyFill="1" applyBorder="1" applyAlignment="1">
      <alignment horizontal="center" vertical="center"/>
    </xf>
    <xf numFmtId="0" fontId="12" fillId="3" borderId="14" xfId="0" applyFont="1" applyFill="1" applyBorder="1" applyAlignment="1">
      <alignment horizontal="center" vertical="center"/>
    </xf>
    <xf numFmtId="0" fontId="12" fillId="3" borderId="15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wrapText="1"/>
    </xf>
    <xf numFmtId="0" fontId="6" fillId="2" borderId="11" xfId="0" applyFont="1" applyFill="1" applyBorder="1" applyAlignment="1">
      <alignment horizontal="center" wrapText="1"/>
    </xf>
    <xf numFmtId="0" fontId="6" fillId="2" borderId="12" xfId="0" applyFont="1" applyFill="1" applyBorder="1" applyAlignment="1">
      <alignment horizontal="center" wrapText="1"/>
    </xf>
    <xf numFmtId="0" fontId="6" fillId="2" borderId="13" xfId="0" applyFont="1" applyFill="1" applyBorder="1" applyAlignment="1">
      <alignment horizontal="center" wrapText="1"/>
    </xf>
    <xf numFmtId="0" fontId="6" fillId="2" borderId="14" xfId="0" applyFont="1" applyFill="1" applyBorder="1" applyAlignment="1">
      <alignment horizontal="center" wrapText="1"/>
    </xf>
    <xf numFmtId="0" fontId="6" fillId="2" borderId="15" xfId="0" applyFont="1" applyFill="1" applyBorder="1" applyAlignment="1">
      <alignment horizontal="center" wrapText="1"/>
    </xf>
    <xf numFmtId="0" fontId="4" fillId="2" borderId="7" xfId="0" applyFont="1" applyFill="1" applyBorder="1" applyAlignment="1">
      <alignment horizontal="center" vertical="center"/>
    </xf>
    <xf numFmtId="0" fontId="7" fillId="3" borderId="10" xfId="0" applyFont="1" applyFill="1" applyBorder="1" applyAlignment="1">
      <alignment horizontal="center" vertical="center"/>
    </xf>
    <xf numFmtId="0" fontId="7" fillId="3" borderId="11" xfId="0" applyFont="1" applyFill="1" applyBorder="1" applyAlignment="1">
      <alignment horizontal="center" vertical="center"/>
    </xf>
    <xf numFmtId="0" fontId="7" fillId="3" borderId="12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7" fillId="3" borderId="16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center" vertical="center"/>
    </xf>
    <xf numFmtId="0" fontId="7" fillId="3" borderId="14" xfId="0" applyFont="1" applyFill="1" applyBorder="1" applyAlignment="1">
      <alignment horizontal="center" vertical="center"/>
    </xf>
    <xf numFmtId="0" fontId="7" fillId="3" borderId="15" xfId="0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center"/>
    </xf>
    <xf numFmtId="0" fontId="8" fillId="4" borderId="3" xfId="0" applyFont="1" applyFill="1" applyBorder="1" applyAlignment="1">
      <alignment horizontal="center"/>
    </xf>
    <xf numFmtId="0" fontId="8" fillId="4" borderId="4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wrapText="1"/>
    </xf>
    <xf numFmtId="0" fontId="6" fillId="2" borderId="0" xfId="0" applyFont="1" applyFill="1" applyAlignment="1">
      <alignment horizontal="center" wrapText="1"/>
    </xf>
    <xf numFmtId="0" fontId="6" fillId="2" borderId="16" xfId="0" applyFont="1" applyFill="1" applyBorder="1" applyAlignment="1">
      <alignment horizontal="center" wrapText="1"/>
    </xf>
    <xf numFmtId="0" fontId="9" fillId="2" borderId="35" xfId="0" applyFont="1" applyFill="1" applyBorder="1" applyAlignment="1">
      <alignment horizontal="center" vertical="center"/>
    </xf>
    <xf numFmtId="0" fontId="9" fillId="2" borderId="36" xfId="0" applyFont="1" applyFill="1" applyBorder="1" applyAlignment="1">
      <alignment horizontal="center" vertical="center"/>
    </xf>
    <xf numFmtId="0" fontId="9" fillId="2" borderId="37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/>
    </xf>
    <xf numFmtId="0" fontId="6" fillId="4" borderId="3" xfId="0" applyFont="1" applyFill="1" applyBorder="1" applyAlignment="1">
      <alignment horizontal="center"/>
    </xf>
    <xf numFmtId="0" fontId="6" fillId="4" borderId="4" xfId="0" applyFont="1" applyFill="1" applyBorder="1" applyAlignment="1">
      <alignment horizontal="center"/>
    </xf>
    <xf numFmtId="0" fontId="11" fillId="3" borderId="10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0" xfId="0" applyFont="1" applyFill="1" applyAlignment="1">
      <alignment horizontal="center" vertical="center"/>
    </xf>
    <xf numFmtId="0" fontId="11" fillId="3" borderId="16" xfId="0" applyFont="1" applyFill="1" applyBorder="1" applyAlignment="1">
      <alignment horizontal="center" vertical="center"/>
    </xf>
    <xf numFmtId="0" fontId="11" fillId="3" borderId="13" xfId="0" applyFont="1" applyFill="1" applyBorder="1" applyAlignment="1">
      <alignment horizontal="center"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5" xfId="0" applyFont="1" applyFill="1" applyBorder="1" applyAlignment="1">
      <alignment horizontal="center" vertical="center"/>
    </xf>
    <xf numFmtId="0" fontId="10" fillId="0" borderId="19" xfId="0" applyFont="1" applyBorder="1" applyAlignment="1">
      <alignment horizontal="center"/>
    </xf>
    <xf numFmtId="0" fontId="10" fillId="0" borderId="20" xfId="0" applyFont="1" applyBorder="1" applyAlignment="1">
      <alignment horizontal="center"/>
    </xf>
    <xf numFmtId="0" fontId="10" fillId="0" borderId="21" xfId="0" applyFont="1" applyBorder="1" applyAlignment="1">
      <alignment horizontal="center"/>
    </xf>
    <xf numFmtId="0" fontId="6" fillId="0" borderId="22" xfId="0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 vertical="center" wrapText="1"/>
    </xf>
    <xf numFmtId="0" fontId="6" fillId="0" borderId="25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26" xfId="0" applyFont="1" applyBorder="1" applyAlignment="1">
      <alignment horizontal="center" vertical="center" wrapText="1"/>
    </xf>
    <xf numFmtId="0" fontId="6" fillId="0" borderId="27" xfId="0" applyFont="1" applyBorder="1" applyAlignment="1">
      <alignment horizontal="center" vertical="center" wrapText="1"/>
    </xf>
    <xf numFmtId="0" fontId="6" fillId="0" borderId="28" xfId="0" applyFont="1" applyBorder="1" applyAlignment="1">
      <alignment horizontal="center" vertical="center" wrapText="1"/>
    </xf>
    <xf numFmtId="0" fontId="6" fillId="0" borderId="29" xfId="0" applyFont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3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EV/EBITDA Comparison (2026E vs 2027E)</a:t>
            </a:r>
          </a:p>
        </c:rich>
      </c:tx>
      <c:layout>
        <c:manualLayout>
          <c:xMode val="edge"/>
          <c:yMode val="edge"/>
          <c:x val="0.19525763295453213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'FINAL COMPS'!$G$6</c:f>
              <c:strCache>
                <c:ptCount val="1"/>
                <c:pt idx="0">
                  <c:v>EV/EBITDA 2026E</c:v>
                </c:pt>
              </c:strCache>
            </c:strRef>
          </c:tx>
          <c:spPr>
            <a:solidFill>
              <a:schemeClr val="accent4">
                <a:shade val="76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'FINAL COMPS'!$F$7:$F$14</c:f>
              <c:strCache>
                <c:ptCount val="8"/>
                <c:pt idx="0">
                  <c:v>Microsoft</c:v>
                </c:pt>
                <c:pt idx="1">
                  <c:v>Alphabet</c:v>
                </c:pt>
                <c:pt idx="2">
                  <c:v>Oracle</c:v>
                </c:pt>
                <c:pt idx="3">
                  <c:v>Salesforce</c:v>
                </c:pt>
                <c:pt idx="4">
                  <c:v>IBM</c:v>
                </c:pt>
                <c:pt idx="5">
                  <c:v>Wipro</c:v>
                </c:pt>
                <c:pt idx="6">
                  <c:v>Infosys</c:v>
                </c:pt>
                <c:pt idx="7">
                  <c:v>TCS</c:v>
                </c:pt>
              </c:strCache>
            </c:strRef>
          </c:cat>
          <c:val>
            <c:numRef>
              <c:f>'FINAL COMPS'!$G$7:$G$14</c:f>
              <c:numCache>
                <c:formatCode>_(* #,##0.00_);_(* \(#,##0.00\);_(* "-"??_);_(@_)</c:formatCode>
                <c:ptCount val="8"/>
                <c:pt idx="0">
                  <c:v>13.31829924127466</c:v>
                </c:pt>
                <c:pt idx="1">
                  <c:v>14.05757514353259</c:v>
                </c:pt>
                <c:pt idx="2">
                  <c:v>9.0158996039102188</c:v>
                </c:pt>
                <c:pt idx="3">
                  <c:v>8.9648584706754431</c:v>
                </c:pt>
                <c:pt idx="4">
                  <c:v>12.2615543264273</c:v>
                </c:pt>
                <c:pt idx="5" formatCode="General">
                  <c:v>8.9</c:v>
                </c:pt>
                <c:pt idx="6" formatCode="General">
                  <c:v>11.8</c:v>
                </c:pt>
                <c:pt idx="7" formatCode="General">
                  <c:v>11.3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4B-4881-9DB8-630A6272C776}"/>
            </c:ext>
          </c:extLst>
        </c:ser>
        <c:ser>
          <c:idx val="1"/>
          <c:order val="1"/>
          <c:tx>
            <c:strRef>
              <c:f>'FINAL COMPS'!$H$6</c:f>
              <c:strCache>
                <c:ptCount val="1"/>
                <c:pt idx="0">
                  <c:v>EV/EBITDA 2027E</c:v>
                </c:pt>
              </c:strCache>
            </c:strRef>
          </c:tx>
          <c:spPr>
            <a:solidFill>
              <a:schemeClr val="accent4">
                <a:tint val="77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'FINAL COMPS'!$F$7:$F$14</c:f>
              <c:strCache>
                <c:ptCount val="8"/>
                <c:pt idx="0">
                  <c:v>Microsoft</c:v>
                </c:pt>
                <c:pt idx="1">
                  <c:v>Alphabet</c:v>
                </c:pt>
                <c:pt idx="2">
                  <c:v>Oracle</c:v>
                </c:pt>
                <c:pt idx="3">
                  <c:v>Salesforce</c:v>
                </c:pt>
                <c:pt idx="4">
                  <c:v>IBM</c:v>
                </c:pt>
                <c:pt idx="5">
                  <c:v>Wipro</c:v>
                </c:pt>
                <c:pt idx="6">
                  <c:v>Infosys</c:v>
                </c:pt>
                <c:pt idx="7">
                  <c:v>TCS</c:v>
                </c:pt>
              </c:strCache>
            </c:strRef>
          </c:cat>
          <c:val>
            <c:numRef>
              <c:f>'FINAL COMPS'!$H$7:$H$14</c:f>
              <c:numCache>
                <c:formatCode>_(* #,##0.00_);_(* \(#,##0.00\);_(* "-"??_);_(@_)</c:formatCode>
                <c:ptCount val="8"/>
                <c:pt idx="0">
                  <c:v>10.60815026107136</c:v>
                </c:pt>
                <c:pt idx="1">
                  <c:v>10.879372713016204</c:v>
                </c:pt>
                <c:pt idx="2">
                  <c:v>6.2667303191119554</c:v>
                </c:pt>
                <c:pt idx="3">
                  <c:v>8.1237088522058105</c:v>
                </c:pt>
                <c:pt idx="4">
                  <c:v>11.448052516411378</c:v>
                </c:pt>
                <c:pt idx="5" formatCode="General">
                  <c:v>7.96</c:v>
                </c:pt>
                <c:pt idx="6" formatCode="General">
                  <c:v>9.49</c:v>
                </c:pt>
                <c:pt idx="7" formatCode="General">
                  <c:v>10.6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B4B-4881-9DB8-630A6272C776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476569775"/>
        <c:axId val="575057231"/>
      </c:barChart>
      <c:catAx>
        <c:axId val="476569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5057231"/>
        <c:crosses val="autoZero"/>
        <c:auto val="1"/>
        <c:lblAlgn val="ctr"/>
        <c:lblOffset val="100"/>
        <c:noMultiLvlLbl val="0"/>
      </c:catAx>
      <c:valAx>
        <c:axId val="575057231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crossAx val="4765697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P/E Trading Multiples Comparison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'FINAL COMPS'!$I$6</c:f>
              <c:strCache>
                <c:ptCount val="1"/>
                <c:pt idx="0">
                  <c:v>P/E</c:v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'FINAL COMPS'!$F$7:$F$14</c:f>
              <c:strCache>
                <c:ptCount val="8"/>
                <c:pt idx="0">
                  <c:v>Microsoft</c:v>
                </c:pt>
                <c:pt idx="1">
                  <c:v>Alphabet</c:v>
                </c:pt>
                <c:pt idx="2">
                  <c:v>Oracle</c:v>
                </c:pt>
                <c:pt idx="3">
                  <c:v>Salesforce</c:v>
                </c:pt>
                <c:pt idx="4">
                  <c:v>IBM</c:v>
                </c:pt>
                <c:pt idx="5">
                  <c:v>Wipro</c:v>
                </c:pt>
                <c:pt idx="6">
                  <c:v>Infosys</c:v>
                </c:pt>
                <c:pt idx="7">
                  <c:v>TCS</c:v>
                </c:pt>
              </c:strCache>
            </c:strRef>
          </c:cat>
          <c:val>
            <c:numRef>
              <c:f>'FINAL COMPS'!$I$7:$I$14</c:f>
              <c:numCache>
                <c:formatCode>General</c:formatCode>
                <c:ptCount val="8"/>
                <c:pt idx="0">
                  <c:v>25.71</c:v>
                </c:pt>
                <c:pt idx="1">
                  <c:v>25.32</c:v>
                </c:pt>
                <c:pt idx="2">
                  <c:v>28.17</c:v>
                </c:pt>
                <c:pt idx="3">
                  <c:v>13.4</c:v>
                </c:pt>
                <c:pt idx="4">
                  <c:v>22.73</c:v>
                </c:pt>
                <c:pt idx="5">
                  <c:v>14.56</c:v>
                </c:pt>
                <c:pt idx="6">
                  <c:v>12.76</c:v>
                </c:pt>
                <c:pt idx="7">
                  <c:v>12.55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52-428D-8704-E382152BF1E8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582038527"/>
        <c:axId val="575038031"/>
      </c:barChart>
      <c:catAx>
        <c:axId val="58203852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COMPANIES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5038031"/>
        <c:crosses val="autoZero"/>
        <c:auto val="1"/>
        <c:lblAlgn val="ctr"/>
        <c:lblOffset val="100"/>
        <c:noMultiLvlLbl val="0"/>
      </c:catAx>
      <c:valAx>
        <c:axId val="575038031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P/E VALUES</a:t>
                </a:r>
              </a:p>
            </c:rich>
          </c:tx>
          <c:layout>
            <c:manualLayout>
              <c:xMode val="edge"/>
              <c:yMode val="edge"/>
              <c:x val="0.44913101487314089"/>
              <c:y val="0.8967129629629629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20385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EV/EBITDA 2026E to 2027E Compression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'FINAL COMPS'!$G$6</c:f>
              <c:strCache>
                <c:ptCount val="1"/>
                <c:pt idx="0">
                  <c:v>EV/EBITDA 2026E</c:v>
                </c:pt>
              </c:strCache>
            </c:strRef>
          </c:tx>
          <c:spPr>
            <a:ln w="31750" cap="rnd">
              <a:solidFill>
                <a:schemeClr val="accent4">
                  <a:tint val="77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4">
                  <a:tint val="77000"/>
                </a:schemeClr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'FINAL COMPS'!$F$7:$F$14</c:f>
              <c:strCache>
                <c:ptCount val="8"/>
                <c:pt idx="0">
                  <c:v>Microsoft</c:v>
                </c:pt>
                <c:pt idx="1">
                  <c:v>Alphabet</c:v>
                </c:pt>
                <c:pt idx="2">
                  <c:v>Oracle</c:v>
                </c:pt>
                <c:pt idx="3">
                  <c:v>Salesforce</c:v>
                </c:pt>
                <c:pt idx="4">
                  <c:v>IBM</c:v>
                </c:pt>
                <c:pt idx="5">
                  <c:v>Wipro</c:v>
                </c:pt>
                <c:pt idx="6">
                  <c:v>Infosys</c:v>
                </c:pt>
                <c:pt idx="7">
                  <c:v>TCS</c:v>
                </c:pt>
              </c:strCache>
            </c:strRef>
          </c:cat>
          <c:val>
            <c:numRef>
              <c:f>'FINAL COMPS'!$G$7:$G$14</c:f>
              <c:numCache>
                <c:formatCode>_(* #,##0.00_);_(* \(#,##0.00\);_(* "-"??_);_(@_)</c:formatCode>
                <c:ptCount val="8"/>
                <c:pt idx="0">
                  <c:v>13.31829924127466</c:v>
                </c:pt>
                <c:pt idx="1">
                  <c:v>14.05757514353259</c:v>
                </c:pt>
                <c:pt idx="2">
                  <c:v>9.0158996039102188</c:v>
                </c:pt>
                <c:pt idx="3">
                  <c:v>8.9648584706754431</c:v>
                </c:pt>
                <c:pt idx="4">
                  <c:v>12.2615543264273</c:v>
                </c:pt>
                <c:pt idx="5" formatCode="General">
                  <c:v>8.9</c:v>
                </c:pt>
                <c:pt idx="6" formatCode="General">
                  <c:v>11.8</c:v>
                </c:pt>
                <c:pt idx="7" formatCode="General">
                  <c:v>11.3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77-4625-B682-1F12CD973AA8}"/>
            </c:ext>
          </c:extLst>
        </c:ser>
        <c:ser>
          <c:idx val="1"/>
          <c:order val="1"/>
          <c:tx>
            <c:strRef>
              <c:f>'FINAL COMPS'!$H$6</c:f>
              <c:strCache>
                <c:ptCount val="1"/>
                <c:pt idx="0">
                  <c:v>EV/EBITDA 2027E</c:v>
                </c:pt>
              </c:strCache>
            </c:strRef>
          </c:tx>
          <c:spPr>
            <a:ln w="31750" cap="rnd">
              <a:solidFill>
                <a:schemeClr val="accent4">
                  <a:shade val="76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4">
                  <a:shade val="76000"/>
                </a:schemeClr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'FINAL COMPS'!$F$7:$F$14</c:f>
              <c:strCache>
                <c:ptCount val="8"/>
                <c:pt idx="0">
                  <c:v>Microsoft</c:v>
                </c:pt>
                <c:pt idx="1">
                  <c:v>Alphabet</c:v>
                </c:pt>
                <c:pt idx="2">
                  <c:v>Oracle</c:v>
                </c:pt>
                <c:pt idx="3">
                  <c:v>Salesforce</c:v>
                </c:pt>
                <c:pt idx="4">
                  <c:v>IBM</c:v>
                </c:pt>
                <c:pt idx="5">
                  <c:v>Wipro</c:v>
                </c:pt>
                <c:pt idx="6">
                  <c:v>Infosys</c:v>
                </c:pt>
                <c:pt idx="7">
                  <c:v>TCS</c:v>
                </c:pt>
              </c:strCache>
            </c:strRef>
          </c:cat>
          <c:val>
            <c:numRef>
              <c:f>'FINAL COMPS'!$H$7:$H$14</c:f>
              <c:numCache>
                <c:formatCode>_(* #,##0.00_);_(* \(#,##0.00\);_(* "-"??_);_(@_)</c:formatCode>
                <c:ptCount val="8"/>
                <c:pt idx="0">
                  <c:v>10.60815026107136</c:v>
                </c:pt>
                <c:pt idx="1">
                  <c:v>10.879372713016204</c:v>
                </c:pt>
                <c:pt idx="2">
                  <c:v>6.2667303191119554</c:v>
                </c:pt>
                <c:pt idx="3">
                  <c:v>8.1237088522058105</c:v>
                </c:pt>
                <c:pt idx="4">
                  <c:v>11.448052516411378</c:v>
                </c:pt>
                <c:pt idx="5" formatCode="General">
                  <c:v>7.96</c:v>
                </c:pt>
                <c:pt idx="6" formatCode="General">
                  <c:v>9.49</c:v>
                </c:pt>
                <c:pt idx="7" formatCode="General">
                  <c:v>10.6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77-4625-B682-1F12CD973AA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582043167"/>
        <c:axId val="575052431"/>
      </c:lineChart>
      <c:catAx>
        <c:axId val="5820431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COMPANIES</a:t>
                </a:r>
              </a:p>
            </c:rich>
          </c:tx>
          <c:layout>
            <c:manualLayout>
              <c:xMode val="edge"/>
              <c:yMode val="edge"/>
              <c:x val="0.48051026750405662"/>
              <c:y val="0.7980972347254476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5052431"/>
        <c:crosses val="autoZero"/>
        <c:auto val="1"/>
        <c:lblAlgn val="ctr"/>
        <c:lblOffset val="100"/>
        <c:noMultiLvlLbl val="0"/>
      </c:catAx>
      <c:valAx>
        <c:axId val="575052431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EBITDA 2026E &amp; 2027E</a:t>
                </a:r>
              </a:p>
            </c:rich>
          </c:tx>
          <c:layout>
            <c:manualLayout>
              <c:xMode val="edge"/>
              <c:yMode val="edge"/>
              <c:x val="1.1523437795363706E-2"/>
              <c:y val="0.2145034201035545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.00_);_(* \(#,##0.00\);_(* &quot;-&quot;??_);_(@_)" sourceLinked="1"/>
        <c:majorTickMark val="none"/>
        <c:minorTickMark val="none"/>
        <c:tickLblPos val="nextTo"/>
        <c:crossAx val="5820431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Average Valuation Benchmarking: India vs USA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0.11636894057587309"/>
          <c:y val="0.17396887648264137"/>
          <c:w val="0.87408309465927447"/>
          <c:h val="0.5737637859634848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'PEER STATISTICS'!$D$7</c:f>
              <c:strCache>
                <c:ptCount val="1"/>
                <c:pt idx="0">
                  <c:v>Average EV/EBITDA 2026E</c:v>
                </c:pt>
              </c:strCache>
            </c:strRef>
          </c:tx>
          <c:spPr>
            <a:solidFill>
              <a:schemeClr val="accent4">
                <a:tint val="65000"/>
                <a:alpha val="85000"/>
              </a:schemeClr>
            </a:solidFill>
            <a:ln w="9525" cap="flat" cmpd="sng" algn="ctr">
              <a:solidFill>
                <a:schemeClr val="accent4">
                  <a:tint val="65000"/>
                  <a:lumMod val="7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'PEER STATISTICS'!$E$6:$G$6</c:f>
              <c:strCache>
                <c:ptCount val="3"/>
                <c:pt idx="0">
                  <c:v>India</c:v>
                </c:pt>
                <c:pt idx="1">
                  <c:v>USA</c:v>
                </c:pt>
                <c:pt idx="2">
                  <c:v>Overall</c:v>
                </c:pt>
              </c:strCache>
            </c:strRef>
          </c:cat>
          <c:val>
            <c:numRef>
              <c:f>'PEER STATISTICS'!$E$7:$G$7</c:f>
              <c:numCache>
                <c:formatCode>_(* #,##0.00_);_(* \(#,##0.00\);_(* "-"??_);_(@_)</c:formatCode>
                <c:ptCount val="3"/>
                <c:pt idx="0" formatCode="0.00">
                  <c:v>10.666666666666666</c:v>
                </c:pt>
                <c:pt idx="1">
                  <c:v>11.523637357164043</c:v>
                </c:pt>
                <c:pt idx="2">
                  <c:v>11.202273348227527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D0-470E-AA45-D6C7960E2EE8}"/>
            </c:ext>
          </c:extLst>
        </c:ser>
        <c:ser>
          <c:idx val="1"/>
          <c:order val="1"/>
          <c:tx>
            <c:strRef>
              <c:f>'PEER STATISTICS'!$D$9</c:f>
              <c:strCache>
                <c:ptCount val="1"/>
                <c:pt idx="0">
                  <c:v>Average EV/EBITDA 2027E</c:v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'PEER STATISTICS'!$E$6:$G$6</c:f>
              <c:strCache>
                <c:ptCount val="3"/>
                <c:pt idx="0">
                  <c:v>India</c:v>
                </c:pt>
                <c:pt idx="1">
                  <c:v>USA</c:v>
                </c:pt>
                <c:pt idx="2">
                  <c:v>Overall</c:v>
                </c:pt>
              </c:strCache>
            </c:strRef>
          </c:cat>
          <c:val>
            <c:numRef>
              <c:f>'PEER STATISTICS'!$E$9:$G$9</c:f>
              <c:numCache>
                <c:formatCode>_(* #,##0.00_);_(* \(#,##0.00\);_(* "-"??_);_(@_)</c:formatCode>
                <c:ptCount val="3"/>
                <c:pt idx="0" formatCode="0.00">
                  <c:v>9.35</c:v>
                </c:pt>
                <c:pt idx="1">
                  <c:v>9.4652029323633418</c:v>
                </c:pt>
                <c:pt idx="2">
                  <c:v>9.4220018327270871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D0-470E-AA45-D6C7960E2EE8}"/>
            </c:ext>
          </c:extLst>
        </c:ser>
        <c:ser>
          <c:idx val="2"/>
          <c:order val="2"/>
          <c:tx>
            <c:strRef>
              <c:f>'PEER STATISTICS'!$D$11</c:f>
              <c:strCache>
                <c:ptCount val="1"/>
                <c:pt idx="0">
                  <c:v>Average P/E</c:v>
                </c:pt>
              </c:strCache>
            </c:strRef>
          </c:tx>
          <c:spPr>
            <a:solidFill>
              <a:schemeClr val="accent4">
                <a:shade val="65000"/>
                <a:alpha val="85000"/>
              </a:schemeClr>
            </a:solidFill>
            <a:ln w="9525" cap="flat" cmpd="sng" algn="ctr">
              <a:solidFill>
                <a:schemeClr val="accent4">
                  <a:shade val="65000"/>
                  <a:lumMod val="7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'PEER STATISTICS'!$E$6:$G$6</c:f>
              <c:strCache>
                <c:ptCount val="3"/>
                <c:pt idx="0">
                  <c:v>India</c:v>
                </c:pt>
                <c:pt idx="1">
                  <c:v>USA</c:v>
                </c:pt>
                <c:pt idx="2">
                  <c:v>Overall</c:v>
                </c:pt>
              </c:strCache>
            </c:strRef>
          </c:cat>
          <c:val>
            <c:numRef>
              <c:f>'PEER STATISTICS'!$E$11:$G$11</c:f>
              <c:numCache>
                <c:formatCode>General</c:formatCode>
                <c:ptCount val="3"/>
                <c:pt idx="0" formatCode="0.00">
                  <c:v>13.290000000000001</c:v>
                </c:pt>
                <c:pt idx="1">
                  <c:v>23.066000000000003</c:v>
                </c:pt>
                <c:pt idx="2">
                  <c:v>19.400000000000002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2D0-470E-AA45-D6C7960E2EE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873446543"/>
        <c:axId val="876212687"/>
      </c:barChart>
      <c:catAx>
        <c:axId val="8734465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India VS usa</a:t>
                </a:r>
              </a:p>
            </c:rich>
          </c:tx>
          <c:layout>
            <c:manualLayout>
              <c:xMode val="edge"/>
              <c:yMode val="edge"/>
              <c:x val="0.45976171888626527"/>
              <c:y val="0.8169317783447658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212687"/>
        <c:crosses val="autoZero"/>
        <c:auto val="1"/>
        <c:lblAlgn val="ctr"/>
        <c:lblOffset val="100"/>
        <c:noMultiLvlLbl val="0"/>
      </c:catAx>
      <c:valAx>
        <c:axId val="876212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AVG EBITDA 2026E, 2027E &amp;  P/E</a:t>
                </a:r>
              </a:p>
            </c:rich>
          </c:tx>
          <c:layout>
            <c:manualLayout>
              <c:xMode val="edge"/>
              <c:yMode val="edge"/>
              <c:x val="2.1966852561502794E-2"/>
              <c:y val="0.1311136133047777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34465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4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158991</xdr:colOff>
      <xdr:row>13</xdr:row>
      <xdr:rowOff>82607</xdr:rowOff>
    </xdr:from>
    <xdr:to>
      <xdr:col>6</xdr:col>
      <xdr:colOff>906553</xdr:colOff>
      <xdr:row>20</xdr:row>
      <xdr:rowOff>29343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2066F7A-EFC1-B135-2FC4-411E734F48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58421" y="2483353"/>
          <a:ext cx="4707957" cy="1233447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57150</xdr:colOff>
      <xdr:row>8</xdr:row>
      <xdr:rowOff>120650</xdr:rowOff>
    </xdr:from>
    <xdr:to>
      <xdr:col>13</xdr:col>
      <xdr:colOff>571500</xdr:colOff>
      <xdr:row>23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4B7E435-D58E-40F0-A366-2A9E97999C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75338</xdr:colOff>
      <xdr:row>8</xdr:row>
      <xdr:rowOff>128983</xdr:rowOff>
    </xdr:from>
    <xdr:to>
      <xdr:col>28</xdr:col>
      <xdr:colOff>559661</xdr:colOff>
      <xdr:row>23</xdr:row>
      <xdr:rowOff>118388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7823BB7-0DB6-444A-B306-8C83066978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35137</xdr:colOff>
      <xdr:row>33</xdr:row>
      <xdr:rowOff>148829</xdr:rowOff>
    </xdr:from>
    <xdr:to>
      <xdr:col>13</xdr:col>
      <xdr:colOff>551747</xdr:colOff>
      <xdr:row>48</xdr:row>
      <xdr:rowOff>149413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9D12CA5-7B37-4ECC-B1A2-D6BC4025C6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18772</xdr:colOff>
      <xdr:row>33</xdr:row>
      <xdr:rowOff>128984</xdr:rowOff>
    </xdr:from>
    <xdr:to>
      <xdr:col>28</xdr:col>
      <xdr:colOff>538370</xdr:colOff>
      <xdr:row>48</xdr:row>
      <xdr:rowOff>124240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2E19077-EF87-4B83-BCF0-BC3543A6E0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E0724-C0E3-42EE-A875-15F9A60F9DEB}">
  <dimension ref="B1:L24"/>
  <sheetViews>
    <sheetView tabSelected="1" zoomScale="101" zoomScaleNormal="117" workbookViewId="0"/>
  </sheetViews>
  <sheetFormatPr defaultColWidth="9.26953125" defaultRowHeight="16" x14ac:dyDescent="0.4"/>
  <cols>
    <col min="1" max="1" width="9.26953125" style="1"/>
    <col min="2" max="2" width="2.6328125" style="1" customWidth="1"/>
    <col min="3" max="5" width="9.26953125" style="1"/>
    <col min="6" max="6" width="24.1796875" style="1" bestFit="1" customWidth="1"/>
    <col min="7" max="7" width="34.54296875" style="1" customWidth="1"/>
    <col min="8" max="11" width="9.26953125" style="1"/>
    <col min="12" max="12" width="3.36328125" style="1" customWidth="1"/>
    <col min="13" max="16384" width="9.26953125" style="1"/>
  </cols>
  <sheetData>
    <row r="1" spans="2:12" ht="16.5" thickBot="1" x14ac:dyDescent="0.45"/>
    <row r="2" spans="2:12" ht="16.5" thickBot="1" x14ac:dyDescent="0.45">
      <c r="B2" s="18"/>
      <c r="C2" s="19"/>
      <c r="D2" s="19"/>
      <c r="E2" s="19"/>
      <c r="F2" s="19"/>
      <c r="G2" s="19"/>
      <c r="H2" s="19"/>
      <c r="I2" s="19"/>
      <c r="J2" s="19"/>
      <c r="K2" s="19"/>
      <c r="L2" s="20"/>
    </row>
    <row r="3" spans="2:12" ht="16" customHeight="1" x14ac:dyDescent="0.4">
      <c r="B3" s="13"/>
      <c r="C3" s="141" t="s">
        <v>37</v>
      </c>
      <c r="D3" s="142"/>
      <c r="E3" s="142"/>
      <c r="F3" s="142"/>
      <c r="G3" s="142"/>
      <c r="H3" s="142"/>
      <c r="I3" s="142"/>
      <c r="J3" s="142"/>
      <c r="K3" s="143"/>
      <c r="L3" s="14"/>
    </row>
    <row r="4" spans="2:12" ht="16" customHeight="1" x14ac:dyDescent="0.4">
      <c r="B4" s="13"/>
      <c r="C4" s="144"/>
      <c r="D4" s="145"/>
      <c r="E4" s="145"/>
      <c r="F4" s="145"/>
      <c r="G4" s="145"/>
      <c r="H4" s="145"/>
      <c r="I4" s="145"/>
      <c r="J4" s="145"/>
      <c r="K4" s="146"/>
      <c r="L4" s="14"/>
    </row>
    <row r="5" spans="2:12" ht="16.5" customHeight="1" thickBot="1" x14ac:dyDescent="0.45">
      <c r="B5" s="13"/>
      <c r="C5" s="147"/>
      <c r="D5" s="148"/>
      <c r="E5" s="148"/>
      <c r="F5" s="148"/>
      <c r="G5" s="148"/>
      <c r="H5" s="148"/>
      <c r="I5" s="148"/>
      <c r="J5" s="148"/>
      <c r="K5" s="149"/>
      <c r="L5" s="14"/>
    </row>
    <row r="6" spans="2:12" ht="16.5" thickBot="1" x14ac:dyDescent="0.45">
      <c r="B6" s="13"/>
      <c r="L6" s="14"/>
    </row>
    <row r="7" spans="2:12" ht="23.5" thickBot="1" x14ac:dyDescent="0.6">
      <c r="B7" s="13"/>
      <c r="C7" s="150" t="s">
        <v>38</v>
      </c>
      <c r="D7" s="151"/>
      <c r="E7" s="151"/>
      <c r="F7" s="151"/>
      <c r="G7" s="151"/>
      <c r="H7" s="151"/>
      <c r="I7" s="151"/>
      <c r="J7" s="151"/>
      <c r="K7" s="152"/>
      <c r="L7" s="14"/>
    </row>
    <row r="8" spans="2:12" x14ac:dyDescent="0.4">
      <c r="B8" s="13"/>
      <c r="L8" s="14"/>
    </row>
    <row r="9" spans="2:12" ht="16.5" thickBot="1" x14ac:dyDescent="0.45">
      <c r="B9" s="13"/>
      <c r="L9" s="14"/>
    </row>
    <row r="10" spans="2:12" x14ac:dyDescent="0.4">
      <c r="B10" s="13"/>
      <c r="F10" s="11" t="s">
        <v>73</v>
      </c>
      <c r="G10" s="12" t="s">
        <v>39</v>
      </c>
      <c r="L10" s="14"/>
    </row>
    <row r="11" spans="2:12" x14ac:dyDescent="0.4">
      <c r="B11" s="13"/>
      <c r="F11" s="2" t="s">
        <v>74</v>
      </c>
      <c r="G11" s="3" t="s">
        <v>75</v>
      </c>
      <c r="L11" s="14"/>
    </row>
    <row r="12" spans="2:12" ht="32" x14ac:dyDescent="0.4">
      <c r="B12" s="13"/>
      <c r="F12" s="2" t="s">
        <v>40</v>
      </c>
      <c r="G12" s="3" t="s">
        <v>72</v>
      </c>
      <c r="L12" s="14"/>
    </row>
    <row r="13" spans="2:12" x14ac:dyDescent="0.4">
      <c r="B13" s="13"/>
      <c r="F13" s="2" t="s">
        <v>19</v>
      </c>
      <c r="G13" s="4">
        <v>46234</v>
      </c>
      <c r="L13" s="14"/>
    </row>
    <row r="14" spans="2:12" x14ac:dyDescent="0.4">
      <c r="B14" s="13"/>
      <c r="F14" s="140" t="s">
        <v>41</v>
      </c>
      <c r="G14" s="5" t="s">
        <v>42</v>
      </c>
      <c r="L14" s="14"/>
    </row>
    <row r="15" spans="2:12" x14ac:dyDescent="0.4">
      <c r="B15" s="13"/>
      <c r="F15" s="140"/>
      <c r="G15" s="3" t="s">
        <v>43</v>
      </c>
      <c r="L15" s="14"/>
    </row>
    <row r="16" spans="2:12" x14ac:dyDescent="0.4">
      <c r="B16" s="13"/>
      <c r="F16" s="140" t="s">
        <v>50</v>
      </c>
      <c r="G16" s="123" t="s">
        <v>7</v>
      </c>
      <c r="L16" s="14"/>
    </row>
    <row r="17" spans="2:12" x14ac:dyDescent="0.4">
      <c r="B17" s="13"/>
      <c r="F17" s="140"/>
      <c r="G17" s="123" t="s">
        <v>8</v>
      </c>
      <c r="L17" s="14"/>
    </row>
    <row r="18" spans="2:12" x14ac:dyDescent="0.4">
      <c r="B18" s="13"/>
      <c r="F18" s="140"/>
      <c r="G18" s="123" t="s">
        <v>9</v>
      </c>
      <c r="L18" s="14"/>
    </row>
    <row r="19" spans="2:12" x14ac:dyDescent="0.4">
      <c r="B19" s="13"/>
      <c r="F19" s="140"/>
      <c r="G19" s="123" t="s">
        <v>10</v>
      </c>
      <c r="L19" s="14"/>
    </row>
    <row r="20" spans="2:12" x14ac:dyDescent="0.4">
      <c r="B20" s="13"/>
      <c r="F20" s="140"/>
      <c r="G20" s="123" t="s">
        <v>11</v>
      </c>
      <c r="L20" s="14"/>
    </row>
    <row r="21" spans="2:12" x14ac:dyDescent="0.4">
      <c r="B21" s="13"/>
      <c r="F21" s="140"/>
      <c r="G21" s="123" t="s">
        <v>15</v>
      </c>
      <c r="L21" s="14"/>
    </row>
    <row r="22" spans="2:12" x14ac:dyDescent="0.4">
      <c r="B22" s="13"/>
      <c r="F22" s="140"/>
      <c r="G22" s="123" t="s">
        <v>13</v>
      </c>
      <c r="L22" s="14"/>
    </row>
    <row r="23" spans="2:12" ht="16.5" thickBot="1" x14ac:dyDescent="0.45">
      <c r="B23" s="13"/>
      <c r="F23" s="153"/>
      <c r="G23" s="124" t="s">
        <v>14</v>
      </c>
      <c r="L23" s="14"/>
    </row>
    <row r="24" spans="2:12" ht="16.5" thickBot="1" x14ac:dyDescent="0.45">
      <c r="B24" s="15"/>
      <c r="C24" s="16"/>
      <c r="D24" s="16"/>
      <c r="E24" s="16"/>
      <c r="F24" s="16"/>
      <c r="G24" s="16"/>
      <c r="H24" s="16"/>
      <c r="I24" s="16"/>
      <c r="J24" s="16"/>
      <c r="K24" s="16"/>
      <c r="L24" s="17"/>
    </row>
  </sheetData>
  <mergeCells count="4">
    <mergeCell ref="F14:F15"/>
    <mergeCell ref="C3:K5"/>
    <mergeCell ref="C7:K7"/>
    <mergeCell ref="F16:F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6A942-3129-4DAE-9FB2-0D0EFA3F15CC}">
  <sheetPr>
    <pageSetUpPr autoPageBreaks="0"/>
  </sheetPr>
  <dimension ref="B1:J15"/>
  <sheetViews>
    <sheetView zoomScale="89" zoomScaleNormal="89" workbookViewId="0"/>
  </sheetViews>
  <sheetFormatPr defaultRowHeight="15.5" x14ac:dyDescent="0.35"/>
  <cols>
    <col min="1" max="1" width="8.7265625" style="7"/>
    <col min="2" max="2" width="16.81640625" style="7" customWidth="1"/>
    <col min="3" max="3" width="23.54296875" style="7" customWidth="1"/>
    <col min="4" max="4" width="18.81640625" style="7" customWidth="1"/>
    <col min="5" max="5" width="16.36328125" style="7" customWidth="1"/>
    <col min="6" max="6" width="19.453125" style="7" customWidth="1"/>
    <col min="7" max="7" width="20.36328125" style="7" customWidth="1"/>
    <col min="8" max="8" width="22.54296875" style="7" customWidth="1"/>
    <col min="9" max="9" width="21.7265625" style="7" customWidth="1"/>
    <col min="10" max="10" width="12.1796875" style="7" customWidth="1"/>
    <col min="11" max="16384" width="8.7265625" style="7"/>
  </cols>
  <sheetData>
    <row r="1" spans="2:10" ht="16" thickBot="1" x14ac:dyDescent="0.4"/>
    <row r="2" spans="2:10" ht="15.5" customHeight="1" x14ac:dyDescent="0.35">
      <c r="B2" s="125" t="s">
        <v>76</v>
      </c>
      <c r="C2" s="126"/>
      <c r="D2" s="126"/>
      <c r="E2" s="126"/>
      <c r="F2" s="126"/>
      <c r="G2" s="126"/>
      <c r="H2" s="126"/>
      <c r="I2" s="126"/>
      <c r="J2" s="127"/>
    </row>
    <row r="3" spans="2:10" ht="15.5" customHeight="1" x14ac:dyDescent="0.35">
      <c r="B3" s="128"/>
      <c r="C3" s="129"/>
      <c r="D3" s="129"/>
      <c r="E3" s="129"/>
      <c r="F3" s="129"/>
      <c r="G3" s="129"/>
      <c r="H3" s="129"/>
      <c r="I3" s="129"/>
      <c r="J3" s="130"/>
    </row>
    <row r="4" spans="2:10" ht="16" thickBot="1" x14ac:dyDescent="0.4">
      <c r="B4" s="131"/>
      <c r="C4" s="132"/>
      <c r="D4" s="132"/>
      <c r="E4" s="132"/>
      <c r="F4" s="132"/>
      <c r="G4" s="132"/>
      <c r="H4" s="132"/>
      <c r="I4" s="132"/>
      <c r="J4" s="133"/>
    </row>
    <row r="5" spans="2:10" ht="16" thickBot="1" x14ac:dyDescent="0.4"/>
    <row r="6" spans="2:10" ht="16" thickBot="1" x14ac:dyDescent="0.4">
      <c r="B6" s="21" t="s">
        <v>0</v>
      </c>
      <c r="C6" s="22" t="s">
        <v>2</v>
      </c>
      <c r="D6" s="22" t="s">
        <v>3</v>
      </c>
      <c r="E6" s="22" t="s">
        <v>4</v>
      </c>
      <c r="F6" s="22" t="s">
        <v>5</v>
      </c>
      <c r="G6" s="22" t="s">
        <v>34</v>
      </c>
      <c r="H6" s="22" t="s">
        <v>32</v>
      </c>
      <c r="I6" s="22" t="s">
        <v>33</v>
      </c>
      <c r="J6" s="23" t="s">
        <v>6</v>
      </c>
    </row>
    <row r="7" spans="2:10" ht="16" thickBot="1" x14ac:dyDescent="0.4">
      <c r="B7" s="6"/>
      <c r="C7" s="6"/>
      <c r="D7" s="6"/>
      <c r="E7" s="6"/>
      <c r="F7" s="6"/>
      <c r="G7" s="6"/>
      <c r="H7" s="6"/>
      <c r="I7" s="6"/>
      <c r="J7" s="6"/>
    </row>
    <row r="8" spans="2:10" x14ac:dyDescent="0.35">
      <c r="B8" s="30" t="s">
        <v>7</v>
      </c>
      <c r="C8" s="31">
        <v>464.72</v>
      </c>
      <c r="D8" s="32">
        <v>3677000</v>
      </c>
      <c r="E8" s="33">
        <f>'EV BRIDGE'!E17</f>
        <v>3656983</v>
      </c>
      <c r="F8" s="33">
        <f>CALANDARISATION!D20</f>
        <v>274583.33333333331</v>
      </c>
      <c r="G8" s="34">
        <f>CALANDARISATION!D21</f>
        <v>344733.33333333331</v>
      </c>
      <c r="H8" s="44">
        <f>E8/F8</f>
        <v>13.31829924127466</v>
      </c>
      <c r="I8" s="47">
        <f>E8/G8</f>
        <v>10.60815026107136</v>
      </c>
      <c r="J8" s="50">
        <v>25.71</v>
      </c>
    </row>
    <row r="9" spans="2:10" x14ac:dyDescent="0.35">
      <c r="B9" s="36" t="s">
        <v>8</v>
      </c>
      <c r="C9" s="24">
        <v>356.13</v>
      </c>
      <c r="D9" s="25">
        <v>4230000</v>
      </c>
      <c r="E9" s="26">
        <f>'EV BRIDGE'!F17</f>
        <v>4162448</v>
      </c>
      <c r="F9" s="26">
        <f>CALANDARISATION!E20</f>
        <v>296100</v>
      </c>
      <c r="G9" s="27">
        <f>CALANDARISATION!E21</f>
        <v>382600</v>
      </c>
      <c r="H9" s="45">
        <f t="shared" ref="H9:H12" si="0">E9/F9</f>
        <v>14.05757514353259</v>
      </c>
      <c r="I9" s="48">
        <f t="shared" ref="I9:I12" si="1">E9/G9</f>
        <v>10.879372713016204</v>
      </c>
      <c r="J9" s="51">
        <v>25.32</v>
      </c>
    </row>
    <row r="10" spans="2:10" x14ac:dyDescent="0.35">
      <c r="B10" s="36" t="s">
        <v>9</v>
      </c>
      <c r="C10" s="24">
        <v>129.87</v>
      </c>
      <c r="D10" s="25">
        <v>433569</v>
      </c>
      <c r="E10" s="26">
        <f>'EV BRIDGE'!G17</f>
        <v>563366</v>
      </c>
      <c r="F10" s="26">
        <f>CALANDARISATION!F20</f>
        <v>62485.833333333336</v>
      </c>
      <c r="G10" s="27">
        <f>CALANDARISATION!F21</f>
        <v>89897.916666666672</v>
      </c>
      <c r="H10" s="45">
        <f t="shared" si="0"/>
        <v>9.0158996039102188</v>
      </c>
      <c r="I10" s="48">
        <f t="shared" si="1"/>
        <v>6.2667303191119554</v>
      </c>
      <c r="J10" s="51">
        <v>28.17</v>
      </c>
    </row>
    <row r="11" spans="2:10" x14ac:dyDescent="0.35">
      <c r="B11" s="36" t="s">
        <v>10</v>
      </c>
      <c r="C11" s="24">
        <v>184.02</v>
      </c>
      <c r="D11" s="25">
        <v>160696</v>
      </c>
      <c r="E11" s="26">
        <f>'EV BRIDGE'!H17</f>
        <v>168307</v>
      </c>
      <c r="F11" s="26">
        <f>CALANDARISATION!G20</f>
        <v>18774.083333333336</v>
      </c>
      <c r="G11" s="29">
        <f>CALANDARISATION!G21</f>
        <v>20718</v>
      </c>
      <c r="H11" s="45">
        <f t="shared" si="0"/>
        <v>8.9648584706754431</v>
      </c>
      <c r="I11" s="48">
        <f t="shared" si="1"/>
        <v>8.1237088522058105</v>
      </c>
      <c r="J11" s="52">
        <v>13.4</v>
      </c>
    </row>
    <row r="12" spans="2:10" ht="16" thickBot="1" x14ac:dyDescent="0.4">
      <c r="B12" s="37" t="s">
        <v>11</v>
      </c>
      <c r="C12" s="38">
        <v>223.65</v>
      </c>
      <c r="D12" s="39">
        <v>220761</v>
      </c>
      <c r="E12" s="40">
        <f>'EV BRIDGE'!I17</f>
        <v>261588</v>
      </c>
      <c r="F12" s="40">
        <f>CALANDARISATION!H20</f>
        <v>21334</v>
      </c>
      <c r="G12" s="41">
        <f>CALANDARISATION!H21</f>
        <v>22850</v>
      </c>
      <c r="H12" s="46">
        <f t="shared" si="0"/>
        <v>12.2615543264273</v>
      </c>
      <c r="I12" s="49">
        <f t="shared" si="1"/>
        <v>11.448052516411378</v>
      </c>
      <c r="J12" s="53">
        <v>22.73</v>
      </c>
    </row>
    <row r="13" spans="2:10" ht="16" thickBot="1" x14ac:dyDescent="0.4"/>
    <row r="14" spans="2:10" x14ac:dyDescent="0.35">
      <c r="B14" s="134" t="s">
        <v>77</v>
      </c>
      <c r="C14" s="135"/>
      <c r="D14" s="135"/>
      <c r="E14" s="135"/>
      <c r="F14" s="135"/>
      <c r="G14" s="135"/>
      <c r="H14" s="135"/>
      <c r="I14" s="135"/>
      <c r="J14" s="136"/>
    </row>
    <row r="15" spans="2:10" ht="16" thickBot="1" x14ac:dyDescent="0.4">
      <c r="B15" s="137"/>
      <c r="C15" s="138"/>
      <c r="D15" s="138"/>
      <c r="E15" s="138"/>
      <c r="F15" s="138"/>
      <c r="G15" s="138"/>
      <c r="H15" s="138"/>
      <c r="I15" s="138"/>
      <c r="J15" s="139"/>
    </row>
  </sheetData>
  <mergeCells count="2">
    <mergeCell ref="B2:J4"/>
    <mergeCell ref="B14:J15"/>
  </mergeCells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287FC-72F9-470C-8A0C-F2FF97B1FE7B}">
  <dimension ref="D1:I14"/>
  <sheetViews>
    <sheetView zoomScaleNormal="100" workbookViewId="0"/>
  </sheetViews>
  <sheetFormatPr defaultRowHeight="15.5" x14ac:dyDescent="0.35"/>
  <cols>
    <col min="1" max="3" width="8.7265625" style="7"/>
    <col min="4" max="4" width="14.7265625" style="7" customWidth="1"/>
    <col min="5" max="5" width="20.36328125" style="7" customWidth="1"/>
    <col min="6" max="6" width="16.26953125" style="7" customWidth="1"/>
    <col min="7" max="7" width="19.36328125" style="7" customWidth="1"/>
    <col min="8" max="8" width="18.6328125" style="7" customWidth="1"/>
    <col min="9" max="9" width="11.6328125" style="7" customWidth="1"/>
    <col min="10" max="16384" width="8.7265625" style="7"/>
  </cols>
  <sheetData>
    <row r="1" spans="4:9" ht="16" thickBot="1" x14ac:dyDescent="0.4"/>
    <row r="2" spans="4:9" ht="15.5" customHeight="1" x14ac:dyDescent="0.35">
      <c r="D2" s="125" t="s">
        <v>76</v>
      </c>
      <c r="E2" s="126"/>
      <c r="F2" s="126"/>
      <c r="G2" s="126"/>
      <c r="H2" s="126"/>
      <c r="I2" s="127"/>
    </row>
    <row r="3" spans="4:9" ht="15.5" customHeight="1" x14ac:dyDescent="0.35">
      <c r="D3" s="128"/>
      <c r="E3" s="129"/>
      <c r="F3" s="129"/>
      <c r="G3" s="129"/>
      <c r="H3" s="129"/>
      <c r="I3" s="130"/>
    </row>
    <row r="4" spans="4:9" ht="16" customHeight="1" thickBot="1" x14ac:dyDescent="0.4">
      <c r="D4" s="131"/>
      <c r="E4" s="132"/>
      <c r="F4" s="132"/>
      <c r="G4" s="132"/>
      <c r="H4" s="132"/>
      <c r="I4" s="133"/>
    </row>
    <row r="5" spans="4:9" ht="16" thickBot="1" x14ac:dyDescent="0.4"/>
    <row r="6" spans="4:9" ht="16" thickBot="1" x14ac:dyDescent="0.4">
      <c r="D6" s="21" t="s">
        <v>0</v>
      </c>
      <c r="E6" s="22" t="s">
        <v>2</v>
      </c>
      <c r="F6" s="22" t="s">
        <v>3</v>
      </c>
      <c r="G6" s="22" t="s">
        <v>32</v>
      </c>
      <c r="H6" s="22" t="s">
        <v>33</v>
      </c>
      <c r="I6" s="23" t="s">
        <v>6</v>
      </c>
    </row>
    <row r="7" spans="4:9" ht="16" thickBot="1" x14ac:dyDescent="0.4">
      <c r="D7" s="6"/>
      <c r="E7" s="6"/>
      <c r="F7" s="6"/>
      <c r="G7" s="6"/>
      <c r="H7" s="6"/>
      <c r="I7" s="6"/>
    </row>
    <row r="8" spans="4:9" x14ac:dyDescent="0.35">
      <c r="D8" s="30" t="s">
        <v>15</v>
      </c>
      <c r="E8" s="31">
        <v>1.98</v>
      </c>
      <c r="F8" s="32">
        <v>19192</v>
      </c>
      <c r="G8" s="44">
        <v>8.9</v>
      </c>
      <c r="H8" s="47">
        <v>7.96</v>
      </c>
      <c r="I8" s="50">
        <v>14.56</v>
      </c>
    </row>
    <row r="9" spans="4:9" x14ac:dyDescent="0.35">
      <c r="D9" s="36" t="s">
        <v>13</v>
      </c>
      <c r="E9" s="24">
        <v>12.03</v>
      </c>
      <c r="F9" s="25">
        <v>48966</v>
      </c>
      <c r="G9" s="45">
        <v>11.8</v>
      </c>
      <c r="H9" s="48">
        <v>9.49</v>
      </c>
      <c r="I9" s="51">
        <v>12.76</v>
      </c>
    </row>
    <row r="10" spans="4:9" ht="16" thickBot="1" x14ac:dyDescent="0.4">
      <c r="D10" s="37" t="s">
        <v>14</v>
      </c>
      <c r="E10" s="42">
        <v>2365.6</v>
      </c>
      <c r="F10" s="43">
        <v>8542000</v>
      </c>
      <c r="G10" s="46">
        <v>11.3</v>
      </c>
      <c r="H10" s="49">
        <v>10.6</v>
      </c>
      <c r="I10" s="53">
        <v>12.55</v>
      </c>
    </row>
    <row r="11" spans="4:9" ht="16" thickBot="1" x14ac:dyDescent="0.4"/>
    <row r="12" spans="4:9" ht="15.5" customHeight="1" x14ac:dyDescent="0.35">
      <c r="D12" s="134" t="s">
        <v>78</v>
      </c>
      <c r="E12" s="135"/>
      <c r="F12" s="135"/>
      <c r="G12" s="135"/>
      <c r="H12" s="135"/>
      <c r="I12" s="136"/>
    </row>
    <row r="13" spans="4:9" x14ac:dyDescent="0.35">
      <c r="D13" s="154"/>
      <c r="E13" s="155"/>
      <c r="F13" s="155"/>
      <c r="G13" s="155"/>
      <c r="H13" s="155"/>
      <c r="I13" s="156"/>
    </row>
    <row r="14" spans="4:9" ht="16" thickBot="1" x14ac:dyDescent="0.4">
      <c r="D14" s="137"/>
      <c r="E14" s="138"/>
      <c r="F14" s="138"/>
      <c r="G14" s="138"/>
      <c r="H14" s="138"/>
      <c r="I14" s="139"/>
    </row>
  </sheetData>
  <mergeCells count="2">
    <mergeCell ref="D2:I4"/>
    <mergeCell ref="D12:I14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9577B-0A08-4F5E-BBA6-FED9FB773446}">
  <dimension ref="B1:H21"/>
  <sheetViews>
    <sheetView zoomScale="97" zoomScaleNormal="97" workbookViewId="0"/>
  </sheetViews>
  <sheetFormatPr defaultColWidth="9.453125" defaultRowHeight="15.5" x14ac:dyDescent="0.35"/>
  <cols>
    <col min="1" max="1" width="9.453125" style="7"/>
    <col min="2" max="2" width="10.453125" style="7" customWidth="1"/>
    <col min="3" max="3" width="30.08984375" style="7" customWidth="1"/>
    <col min="4" max="4" width="19.7265625" style="7" customWidth="1"/>
    <col min="5" max="5" width="22.7265625" style="7" customWidth="1"/>
    <col min="6" max="6" width="15.26953125" style="7" customWidth="1"/>
    <col min="7" max="7" width="20.6328125" style="7" customWidth="1"/>
    <col min="8" max="8" width="15.26953125" style="7" customWidth="1"/>
    <col min="9" max="16384" width="9.453125" style="7"/>
  </cols>
  <sheetData>
    <row r="1" spans="2:8" ht="16" thickBot="1" x14ac:dyDescent="0.4"/>
    <row r="2" spans="2:8" ht="15.5" customHeight="1" x14ac:dyDescent="0.35">
      <c r="C2" s="125" t="s">
        <v>79</v>
      </c>
      <c r="D2" s="126"/>
      <c r="E2" s="126"/>
      <c r="F2" s="126"/>
      <c r="G2" s="126"/>
      <c r="H2" s="127"/>
    </row>
    <row r="3" spans="2:8" ht="15.5" customHeight="1" x14ac:dyDescent="0.35">
      <c r="C3" s="128"/>
      <c r="D3" s="129"/>
      <c r="E3" s="129"/>
      <c r="F3" s="129"/>
      <c r="G3" s="129"/>
      <c r="H3" s="130"/>
    </row>
    <row r="4" spans="2:8" ht="16" customHeight="1" thickBot="1" x14ac:dyDescent="0.4">
      <c r="C4" s="131"/>
      <c r="D4" s="132"/>
      <c r="E4" s="132"/>
      <c r="F4" s="132"/>
      <c r="G4" s="132"/>
      <c r="H4" s="133"/>
    </row>
    <row r="6" spans="2:8" ht="16" thickBot="1" x14ac:dyDescent="0.4"/>
    <row r="7" spans="2:8" ht="15.5" customHeight="1" x14ac:dyDescent="0.35">
      <c r="B7" s="157" t="s">
        <v>49</v>
      </c>
      <c r="C7" s="134" t="s">
        <v>87</v>
      </c>
      <c r="D7" s="135"/>
      <c r="E7" s="135"/>
      <c r="F7" s="135"/>
      <c r="G7" s="135"/>
      <c r="H7" s="136"/>
    </row>
    <row r="8" spans="2:8" x14ac:dyDescent="0.35">
      <c r="B8" s="158"/>
      <c r="C8" s="154"/>
      <c r="D8" s="155"/>
      <c r="E8" s="155"/>
      <c r="F8" s="155"/>
      <c r="G8" s="155"/>
      <c r="H8" s="156"/>
    </row>
    <row r="9" spans="2:8" ht="16" thickBot="1" x14ac:dyDescent="0.4">
      <c r="B9" s="159"/>
      <c r="C9" s="137"/>
      <c r="D9" s="138"/>
      <c r="E9" s="138"/>
      <c r="F9" s="138"/>
      <c r="G9" s="138"/>
      <c r="H9" s="139"/>
    </row>
    <row r="10" spans="2:8" ht="16" thickBot="1" x14ac:dyDescent="0.4"/>
    <row r="11" spans="2:8" ht="16" thickBot="1" x14ac:dyDescent="0.4">
      <c r="C11" s="21" t="s">
        <v>84</v>
      </c>
      <c r="D11" s="22" t="s">
        <v>80</v>
      </c>
      <c r="E11" s="22" t="s">
        <v>44</v>
      </c>
      <c r="F11" s="22" t="s">
        <v>81</v>
      </c>
      <c r="G11" s="22" t="s">
        <v>82</v>
      </c>
      <c r="H11" s="23" t="s">
        <v>11</v>
      </c>
    </row>
    <row r="12" spans="2:8" ht="16" thickBot="1" x14ac:dyDescent="0.4"/>
    <row r="13" spans="2:8" x14ac:dyDescent="0.35">
      <c r="C13" s="30" t="s">
        <v>19</v>
      </c>
      <c r="D13" s="58">
        <v>46234</v>
      </c>
      <c r="E13" s="58">
        <v>46234</v>
      </c>
      <c r="F13" s="58">
        <v>46234</v>
      </c>
      <c r="G13" s="58">
        <v>46234</v>
      </c>
      <c r="H13" s="59">
        <v>46234</v>
      </c>
    </row>
    <row r="14" spans="2:8" x14ac:dyDescent="0.35">
      <c r="C14" s="36" t="s">
        <v>48</v>
      </c>
      <c r="D14" s="54">
        <v>46203</v>
      </c>
      <c r="E14" s="55">
        <v>46387</v>
      </c>
      <c r="F14" s="55">
        <v>46173</v>
      </c>
      <c r="G14" s="55">
        <v>46053</v>
      </c>
      <c r="H14" s="60">
        <v>46387</v>
      </c>
    </row>
    <row r="15" spans="2:8" x14ac:dyDescent="0.35">
      <c r="C15" s="36" t="s">
        <v>20</v>
      </c>
      <c r="D15" s="56">
        <v>240400</v>
      </c>
      <c r="E15" s="56">
        <v>296100</v>
      </c>
      <c r="F15" s="56">
        <v>49985</v>
      </c>
      <c r="G15" s="56">
        <v>17846</v>
      </c>
      <c r="H15" s="61">
        <v>21334</v>
      </c>
    </row>
    <row r="16" spans="2:8" x14ac:dyDescent="0.35">
      <c r="C16" s="36" t="s">
        <v>21</v>
      </c>
      <c r="D16" s="56">
        <v>299000</v>
      </c>
      <c r="E16" s="56">
        <v>382600</v>
      </c>
      <c r="F16" s="56">
        <v>71415</v>
      </c>
      <c r="G16" s="56">
        <v>19437</v>
      </c>
      <c r="H16" s="61">
        <v>22850</v>
      </c>
    </row>
    <row r="17" spans="3:8" x14ac:dyDescent="0.35">
      <c r="C17" s="36" t="s">
        <v>29</v>
      </c>
      <c r="D17" s="25">
        <v>377400</v>
      </c>
      <c r="E17" s="25">
        <v>472400</v>
      </c>
      <c r="F17" s="25">
        <v>103100</v>
      </c>
      <c r="G17" s="25">
        <v>21633</v>
      </c>
      <c r="H17" s="62">
        <v>24691</v>
      </c>
    </row>
    <row r="18" spans="3:8" x14ac:dyDescent="0.35">
      <c r="C18" s="36" t="s">
        <v>35</v>
      </c>
      <c r="D18" s="24">
        <v>5</v>
      </c>
      <c r="E18" s="57" t="s">
        <v>45</v>
      </c>
      <c r="F18" s="28">
        <v>5</v>
      </c>
      <c r="G18" s="28">
        <v>5</v>
      </c>
      <c r="H18" s="63" t="s">
        <v>45</v>
      </c>
    </row>
    <row r="19" spans="3:8" ht="16" thickBot="1" x14ac:dyDescent="0.4">
      <c r="C19" s="37" t="s">
        <v>36</v>
      </c>
      <c r="D19" s="38">
        <v>7</v>
      </c>
      <c r="E19" s="71" t="s">
        <v>45</v>
      </c>
      <c r="F19" s="42">
        <v>7</v>
      </c>
      <c r="G19" s="42">
        <v>7</v>
      </c>
      <c r="H19" s="72" t="s">
        <v>45</v>
      </c>
    </row>
    <row r="20" spans="3:8" ht="15.5" customHeight="1" x14ac:dyDescent="0.35">
      <c r="C20" s="67" t="s">
        <v>30</v>
      </c>
      <c r="D20" s="68">
        <f>((D15*D18)+(D16*D19))/12</f>
        <v>274583.33333333331</v>
      </c>
      <c r="E20" s="68">
        <f>E15</f>
        <v>296100</v>
      </c>
      <c r="F20" s="68">
        <f>(F15*(F18/12))+(F16*(F19/12))</f>
        <v>62485.833333333336</v>
      </c>
      <c r="G20" s="69">
        <f>(G15*(G18/12))+(G16*(G19/12))</f>
        <v>18774.083333333336</v>
      </c>
      <c r="H20" s="70">
        <f>H15</f>
        <v>21334</v>
      </c>
    </row>
    <row r="21" spans="3:8" ht="16" thickBot="1" x14ac:dyDescent="0.4">
      <c r="C21" s="64" t="s">
        <v>31</v>
      </c>
      <c r="D21" s="65">
        <f>((D16*D18)+(D17*D19))/12</f>
        <v>344733.33333333331</v>
      </c>
      <c r="E21" s="65">
        <f>E16</f>
        <v>382600</v>
      </c>
      <c r="F21" s="65">
        <f>((F16*F18)+(F17*F19))/12</f>
        <v>89897.916666666672</v>
      </c>
      <c r="G21" s="65">
        <f>((G16*G18)+(G17*G19))/12</f>
        <v>20718</v>
      </c>
      <c r="H21" s="66">
        <f>H16</f>
        <v>22850</v>
      </c>
    </row>
  </sheetData>
  <mergeCells count="3">
    <mergeCell ref="C7:H9"/>
    <mergeCell ref="B7:B9"/>
    <mergeCell ref="C2:H4"/>
  </mergeCell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B9D18-1E42-424C-9093-29ACA0DD1D22}">
  <dimension ref="D1:I20"/>
  <sheetViews>
    <sheetView workbookViewId="0"/>
  </sheetViews>
  <sheetFormatPr defaultRowHeight="15.5" x14ac:dyDescent="0.35"/>
  <cols>
    <col min="1" max="2" width="8.7265625" style="7"/>
    <col min="3" max="3" width="11.54296875" style="7" customWidth="1"/>
    <col min="4" max="4" width="30.81640625" style="7" customWidth="1"/>
    <col min="5" max="5" width="14.26953125" style="7" bestFit="1" customWidth="1"/>
    <col min="6" max="6" width="18.81640625" style="7" customWidth="1"/>
    <col min="7" max="7" width="12.6328125" style="7" customWidth="1"/>
    <col min="8" max="8" width="14.6328125" style="7" customWidth="1"/>
    <col min="9" max="9" width="12.6328125" style="7" customWidth="1"/>
    <col min="10" max="16384" width="8.7265625" style="7"/>
  </cols>
  <sheetData>
    <row r="1" spans="4:9" ht="16" thickBot="1" x14ac:dyDescent="0.4"/>
    <row r="2" spans="4:9" x14ac:dyDescent="0.35">
      <c r="D2" s="125" t="s">
        <v>83</v>
      </c>
      <c r="E2" s="126"/>
      <c r="F2" s="126"/>
      <c r="G2" s="126"/>
      <c r="H2" s="126"/>
      <c r="I2" s="127"/>
    </row>
    <row r="3" spans="4:9" x14ac:dyDescent="0.35">
      <c r="D3" s="128"/>
      <c r="E3" s="129"/>
      <c r="F3" s="129"/>
      <c r="G3" s="129"/>
      <c r="H3" s="129"/>
      <c r="I3" s="130"/>
    </row>
    <row r="4" spans="4:9" ht="16" thickBot="1" x14ac:dyDescent="0.4">
      <c r="D4" s="131"/>
      <c r="E4" s="132"/>
      <c r="F4" s="132"/>
      <c r="G4" s="132"/>
      <c r="H4" s="132"/>
      <c r="I4" s="133"/>
    </row>
    <row r="5" spans="4:9" ht="16" thickBot="1" x14ac:dyDescent="0.4"/>
    <row r="6" spans="4:9" ht="16" thickBot="1" x14ac:dyDescent="0.4">
      <c r="D6" s="160" t="s">
        <v>85</v>
      </c>
      <c r="E6" s="161"/>
      <c r="F6" s="161"/>
      <c r="G6" s="161"/>
      <c r="H6" s="161"/>
      <c r="I6" s="162"/>
    </row>
    <row r="8" spans="4:9" ht="16" thickBot="1" x14ac:dyDescent="0.4"/>
    <row r="9" spans="4:9" ht="16" thickBot="1" x14ac:dyDescent="0.4">
      <c r="D9" s="90" t="s">
        <v>16</v>
      </c>
      <c r="E9" s="91" t="s">
        <v>22</v>
      </c>
      <c r="F9" s="91" t="s">
        <v>44</v>
      </c>
      <c r="G9" s="91" t="s">
        <v>46</v>
      </c>
      <c r="H9" s="91" t="s">
        <v>47</v>
      </c>
      <c r="I9" s="92" t="s">
        <v>11</v>
      </c>
    </row>
    <row r="10" spans="4:9" x14ac:dyDescent="0.35">
      <c r="D10" s="87" t="s">
        <v>17</v>
      </c>
      <c r="E10" s="88">
        <f>'US COMPANIES'!D8</f>
        <v>3677000</v>
      </c>
      <c r="F10" s="88">
        <f>'US COMPANIES'!D9</f>
        <v>4230000</v>
      </c>
      <c r="G10" s="88">
        <f>'US COMPANIES'!D10</f>
        <v>433569</v>
      </c>
      <c r="H10" s="88">
        <f>'US COMPANIES'!D11</f>
        <v>160696</v>
      </c>
      <c r="I10" s="89">
        <f>'US COMPANIES'!D12</f>
        <v>220761</v>
      </c>
    </row>
    <row r="11" spans="4:9" x14ac:dyDescent="0.35">
      <c r="D11" s="76" t="s">
        <v>23</v>
      </c>
      <c r="E11" s="73">
        <f>9227+31067</f>
        <v>40294</v>
      </c>
      <c r="F11" s="73">
        <v>46547</v>
      </c>
      <c r="G11" s="73">
        <v>129541</v>
      </c>
      <c r="H11" s="73">
        <v>14439</v>
      </c>
      <c r="I11" s="77">
        <v>61260</v>
      </c>
    </row>
    <row r="12" spans="4:9" x14ac:dyDescent="0.35">
      <c r="D12" s="76" t="s">
        <v>24</v>
      </c>
      <c r="E12" s="73">
        <f>16532</f>
        <v>16532</v>
      </c>
      <c r="F12" s="73">
        <v>12744</v>
      </c>
      <c r="G12" s="73">
        <v>26648</v>
      </c>
      <c r="H12" s="73">
        <v>2737</v>
      </c>
      <c r="I12" s="77">
        <v>3347</v>
      </c>
    </row>
    <row r="13" spans="4:9" x14ac:dyDescent="0.35">
      <c r="D13" s="76" t="s">
        <v>25</v>
      </c>
      <c r="E13" s="74">
        <v>0</v>
      </c>
      <c r="F13" s="74">
        <v>0</v>
      </c>
      <c r="G13" s="73">
        <v>4954</v>
      </c>
      <c r="H13" s="74">
        <v>0</v>
      </c>
      <c r="I13" s="78">
        <v>0</v>
      </c>
    </row>
    <row r="14" spans="4:9" x14ac:dyDescent="0.35">
      <c r="D14" s="76" t="s">
        <v>26</v>
      </c>
      <c r="E14" s="74">
        <v>0</v>
      </c>
      <c r="F14" s="74">
        <v>0</v>
      </c>
      <c r="G14" s="73">
        <v>548</v>
      </c>
      <c r="H14" s="74">
        <v>0</v>
      </c>
      <c r="I14" s="77">
        <v>93</v>
      </c>
    </row>
    <row r="15" spans="4:9" x14ac:dyDescent="0.35">
      <c r="D15" s="79" t="s">
        <v>27</v>
      </c>
      <c r="E15" s="75">
        <f>20935</f>
        <v>20935</v>
      </c>
      <c r="F15" s="75">
        <v>30708</v>
      </c>
      <c r="G15" s="75">
        <v>31289</v>
      </c>
      <c r="H15" s="75">
        <v>7327</v>
      </c>
      <c r="I15" s="80">
        <v>13587</v>
      </c>
    </row>
    <row r="16" spans="4:9" ht="16" thickBot="1" x14ac:dyDescent="0.4">
      <c r="D16" s="81" t="s">
        <v>28</v>
      </c>
      <c r="E16" s="82">
        <f>55908</f>
        <v>55908</v>
      </c>
      <c r="F16" s="82">
        <v>96135</v>
      </c>
      <c r="G16" s="82">
        <v>605</v>
      </c>
      <c r="H16" s="82">
        <v>2238</v>
      </c>
      <c r="I16" s="83">
        <v>10286</v>
      </c>
    </row>
    <row r="17" spans="4:9" ht="16" thickBot="1" x14ac:dyDescent="0.4">
      <c r="D17" s="84" t="s">
        <v>18</v>
      </c>
      <c r="E17" s="85">
        <f>E10+E11+E12+E13+E14-E15-E16</f>
        <v>3656983</v>
      </c>
      <c r="F17" s="85">
        <f t="shared" ref="F17:I17" si="0">F10+F11+F12+F13+F14-F15-F16</f>
        <v>4162448</v>
      </c>
      <c r="G17" s="85">
        <f t="shared" si="0"/>
        <v>563366</v>
      </c>
      <c r="H17" s="85">
        <f t="shared" si="0"/>
        <v>168307</v>
      </c>
      <c r="I17" s="86">
        <f t="shared" si="0"/>
        <v>261588</v>
      </c>
    </row>
    <row r="18" spans="4:9" ht="16" thickBot="1" x14ac:dyDescent="0.4"/>
    <row r="19" spans="4:9" ht="15.5" customHeight="1" x14ac:dyDescent="0.35">
      <c r="D19" s="134" t="s">
        <v>86</v>
      </c>
      <c r="E19" s="135"/>
      <c r="F19" s="135"/>
      <c r="G19" s="135"/>
      <c r="H19" s="135"/>
      <c r="I19" s="136"/>
    </row>
    <row r="20" spans="4:9" ht="16" thickBot="1" x14ac:dyDescent="0.4">
      <c r="D20" s="137"/>
      <c r="E20" s="138"/>
      <c r="F20" s="138"/>
      <c r="G20" s="138"/>
      <c r="H20" s="138"/>
      <c r="I20" s="139"/>
    </row>
  </sheetData>
  <mergeCells count="3">
    <mergeCell ref="D2:I4"/>
    <mergeCell ref="D6:I6"/>
    <mergeCell ref="D19:I20"/>
  </mergeCell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E75ED-40C8-4281-BB7D-5FD84CB60967}">
  <dimension ref="E1:I18"/>
  <sheetViews>
    <sheetView zoomScale="106" zoomScaleNormal="106" workbookViewId="0"/>
  </sheetViews>
  <sheetFormatPr defaultRowHeight="15.5" x14ac:dyDescent="0.35"/>
  <cols>
    <col min="1" max="4" width="8.7265625" style="7"/>
    <col min="5" max="5" width="14.453125" style="7" customWidth="1"/>
    <col min="6" max="6" width="20.1796875" style="7" customWidth="1"/>
    <col min="7" max="7" width="17.54296875" style="7" customWidth="1"/>
    <col min="8" max="8" width="18.36328125" style="7" customWidth="1"/>
    <col min="9" max="9" width="17.26953125" style="7" customWidth="1"/>
    <col min="10" max="16384" width="8.7265625" style="7"/>
  </cols>
  <sheetData>
    <row r="1" spans="5:9" ht="16" thickBot="1" x14ac:dyDescent="0.4"/>
    <row r="2" spans="5:9" ht="15.5" customHeight="1" x14ac:dyDescent="0.35">
      <c r="E2" s="125" t="s">
        <v>88</v>
      </c>
      <c r="F2" s="126"/>
      <c r="G2" s="126"/>
      <c r="H2" s="126"/>
      <c r="I2" s="127"/>
    </row>
    <row r="3" spans="5:9" ht="15.5" customHeight="1" x14ac:dyDescent="0.35">
      <c r="E3" s="128"/>
      <c r="F3" s="129"/>
      <c r="G3" s="129"/>
      <c r="H3" s="129"/>
      <c r="I3" s="130"/>
    </row>
    <row r="4" spans="5:9" ht="16" customHeight="1" thickBot="1" x14ac:dyDescent="0.4">
      <c r="E4" s="131"/>
      <c r="F4" s="132"/>
      <c r="G4" s="132"/>
      <c r="H4" s="132"/>
      <c r="I4" s="133"/>
    </row>
    <row r="5" spans="5:9" ht="16" thickBot="1" x14ac:dyDescent="0.4"/>
    <row r="6" spans="5:9" ht="16" thickBot="1" x14ac:dyDescent="0.4">
      <c r="E6" s="93" t="s">
        <v>1</v>
      </c>
      <c r="F6" s="94" t="s">
        <v>0</v>
      </c>
      <c r="G6" s="94" t="s">
        <v>32</v>
      </c>
      <c r="H6" s="94" t="s">
        <v>33</v>
      </c>
      <c r="I6" s="95" t="s">
        <v>6</v>
      </c>
    </row>
    <row r="7" spans="5:9" x14ac:dyDescent="0.35">
      <c r="E7" s="100" t="s">
        <v>51</v>
      </c>
      <c r="F7" s="101" t="s">
        <v>7</v>
      </c>
      <c r="G7" s="97">
        <f>'US COMPANIES'!H8</f>
        <v>13.31829924127466</v>
      </c>
      <c r="H7" s="97">
        <f>'US COMPANIES'!I8</f>
        <v>10.60815026107136</v>
      </c>
      <c r="I7" s="35">
        <f>'US COMPANIES'!J8</f>
        <v>25.71</v>
      </c>
    </row>
    <row r="8" spans="5:9" x14ac:dyDescent="0.35">
      <c r="E8" s="102" t="s">
        <v>51</v>
      </c>
      <c r="F8" s="103" t="s">
        <v>8</v>
      </c>
      <c r="G8" s="96">
        <f>'US COMPANIES'!H9</f>
        <v>14.05757514353259</v>
      </c>
      <c r="H8" s="96">
        <f>'US COMPANIES'!I9</f>
        <v>10.879372713016204</v>
      </c>
      <c r="I8" s="98">
        <f>'US COMPANIES'!J9</f>
        <v>25.32</v>
      </c>
    </row>
    <row r="9" spans="5:9" x14ac:dyDescent="0.35">
      <c r="E9" s="102" t="s">
        <v>51</v>
      </c>
      <c r="F9" s="103" t="s">
        <v>9</v>
      </c>
      <c r="G9" s="96">
        <f>'US COMPANIES'!H10</f>
        <v>9.0158996039102188</v>
      </c>
      <c r="H9" s="96">
        <f>'US COMPANIES'!I10</f>
        <v>6.2667303191119554</v>
      </c>
      <c r="I9" s="98">
        <f>'US COMPANIES'!J10</f>
        <v>28.17</v>
      </c>
    </row>
    <row r="10" spans="5:9" x14ac:dyDescent="0.35">
      <c r="E10" s="102" t="s">
        <v>51</v>
      </c>
      <c r="F10" s="103" t="s">
        <v>10</v>
      </c>
      <c r="G10" s="96">
        <f>'US COMPANIES'!H11</f>
        <v>8.9648584706754431</v>
      </c>
      <c r="H10" s="96">
        <f>'US COMPANIES'!I11</f>
        <v>8.1237088522058105</v>
      </c>
      <c r="I10" s="98">
        <f>'US COMPANIES'!J11</f>
        <v>13.4</v>
      </c>
    </row>
    <row r="11" spans="5:9" x14ac:dyDescent="0.35">
      <c r="E11" s="102" t="s">
        <v>51</v>
      </c>
      <c r="F11" s="103" t="s">
        <v>11</v>
      </c>
      <c r="G11" s="96">
        <f>'US COMPANIES'!H12</f>
        <v>12.2615543264273</v>
      </c>
      <c r="H11" s="96">
        <f>'US COMPANIES'!I12</f>
        <v>11.448052516411378</v>
      </c>
      <c r="I11" s="98">
        <f>'US COMPANIES'!J12</f>
        <v>22.73</v>
      </c>
    </row>
    <row r="12" spans="5:9" x14ac:dyDescent="0.35">
      <c r="E12" s="102" t="s">
        <v>12</v>
      </c>
      <c r="F12" s="103" t="s">
        <v>15</v>
      </c>
      <c r="G12" s="24">
        <f>'INDIAN COMPANIES'!G8</f>
        <v>8.9</v>
      </c>
      <c r="H12" s="24">
        <f>'INDIAN COMPANIES'!H8</f>
        <v>7.96</v>
      </c>
      <c r="I12" s="98">
        <f>'INDIAN COMPANIES'!I8</f>
        <v>14.56</v>
      </c>
    </row>
    <row r="13" spans="5:9" x14ac:dyDescent="0.35">
      <c r="E13" s="102" t="s">
        <v>12</v>
      </c>
      <c r="F13" s="103" t="s">
        <v>13</v>
      </c>
      <c r="G13" s="24">
        <f>'INDIAN COMPANIES'!G9</f>
        <v>11.8</v>
      </c>
      <c r="H13" s="24">
        <f>'INDIAN COMPANIES'!H9</f>
        <v>9.49</v>
      </c>
      <c r="I13" s="98">
        <f>'INDIAN COMPANIES'!I9</f>
        <v>12.76</v>
      </c>
    </row>
    <row r="14" spans="5:9" ht="16" thickBot="1" x14ac:dyDescent="0.4">
      <c r="E14" s="104" t="s">
        <v>12</v>
      </c>
      <c r="F14" s="105" t="s">
        <v>14</v>
      </c>
      <c r="G14" s="38">
        <f>'INDIAN COMPANIES'!G10</f>
        <v>11.3</v>
      </c>
      <c r="H14" s="38">
        <f>'INDIAN COMPANIES'!H10</f>
        <v>10.6</v>
      </c>
      <c r="I14" s="99">
        <f>'INDIAN COMPANIES'!I10</f>
        <v>12.55</v>
      </c>
    </row>
    <row r="15" spans="5:9" ht="16" thickBot="1" x14ac:dyDescent="0.4"/>
    <row r="16" spans="5:9" ht="15.5" customHeight="1" x14ac:dyDescent="0.35">
      <c r="E16" s="134" t="s">
        <v>89</v>
      </c>
      <c r="F16" s="135"/>
      <c r="G16" s="135"/>
      <c r="H16" s="135"/>
      <c r="I16" s="136"/>
    </row>
    <row r="17" spans="5:9" x14ac:dyDescent="0.35">
      <c r="E17" s="154"/>
      <c r="F17" s="155"/>
      <c r="G17" s="155"/>
      <c r="H17" s="155"/>
      <c r="I17" s="156"/>
    </row>
    <row r="18" spans="5:9" ht="16" thickBot="1" x14ac:dyDescent="0.4">
      <c r="E18" s="137"/>
      <c r="F18" s="138"/>
      <c r="G18" s="138"/>
      <c r="H18" s="138"/>
      <c r="I18" s="139"/>
    </row>
  </sheetData>
  <mergeCells count="2">
    <mergeCell ref="E2:I4"/>
    <mergeCell ref="E16:I18"/>
  </mergeCells>
  <conditionalFormatting sqref="G7:G14">
    <cfRule type="top10" dxfId="2" priority="3" rank="3"/>
  </conditionalFormatting>
  <conditionalFormatting sqref="H7:H14">
    <cfRule type="top10" dxfId="1" priority="2" rank="3"/>
  </conditionalFormatting>
  <conditionalFormatting sqref="I7:I14">
    <cfRule type="top10" dxfId="0" priority="1" rank="3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1B5D4-475A-4556-ABA3-DAD2F398CAA3}">
  <dimension ref="D1:G12"/>
  <sheetViews>
    <sheetView zoomScale="114" zoomScaleNormal="133" workbookViewId="0"/>
  </sheetViews>
  <sheetFormatPr defaultRowHeight="14.5" x14ac:dyDescent="0.35"/>
  <cols>
    <col min="1" max="2" width="8.7265625" style="8"/>
    <col min="3" max="3" width="9.81640625" style="8" customWidth="1"/>
    <col min="4" max="4" width="27.81640625" style="8" customWidth="1"/>
    <col min="5" max="5" width="14" style="8" customWidth="1"/>
    <col min="6" max="6" width="14.81640625" style="8" customWidth="1"/>
    <col min="7" max="7" width="14.7265625" style="8" customWidth="1"/>
    <col min="8" max="16384" width="8.7265625" style="8"/>
  </cols>
  <sheetData>
    <row r="1" spans="4:7" ht="15" thickBot="1" x14ac:dyDescent="0.4"/>
    <row r="2" spans="4:7" ht="14.5" customHeight="1" x14ac:dyDescent="0.35">
      <c r="D2" s="125" t="s">
        <v>90</v>
      </c>
      <c r="E2" s="126"/>
      <c r="F2" s="126"/>
      <c r="G2" s="127"/>
    </row>
    <row r="3" spans="4:7" ht="14.5" customHeight="1" x14ac:dyDescent="0.35">
      <c r="D3" s="128"/>
      <c r="E3" s="129"/>
      <c r="F3" s="129"/>
      <c r="G3" s="130"/>
    </row>
    <row r="4" spans="4:7" ht="15" customHeight="1" thickBot="1" x14ac:dyDescent="0.4">
      <c r="D4" s="131"/>
      <c r="E4" s="132"/>
      <c r="F4" s="132"/>
      <c r="G4" s="133"/>
    </row>
    <row r="5" spans="4:7" ht="15" thickBot="1" x14ac:dyDescent="0.4"/>
    <row r="6" spans="4:7" ht="15" thickBot="1" x14ac:dyDescent="0.4">
      <c r="D6" s="120" t="s">
        <v>52</v>
      </c>
      <c r="E6" s="121" t="s">
        <v>12</v>
      </c>
      <c r="F6" s="121" t="s">
        <v>51</v>
      </c>
      <c r="G6" s="122" t="s">
        <v>53</v>
      </c>
    </row>
    <row r="7" spans="4:7" x14ac:dyDescent="0.35">
      <c r="D7" s="116" t="s">
        <v>54</v>
      </c>
      <c r="E7" s="117">
        <f>AVERAGE('FINAL COMPS'!G12:G14)</f>
        <v>10.666666666666666</v>
      </c>
      <c r="F7" s="118">
        <f>AVERAGE('FINAL COMPS'!G7:G11)</f>
        <v>11.523637357164043</v>
      </c>
      <c r="G7" s="119">
        <f>AVERAGE('FINAL COMPS'!G7:G14)</f>
        <v>11.202273348227527</v>
      </c>
    </row>
    <row r="8" spans="4:7" x14ac:dyDescent="0.35">
      <c r="D8" s="109" t="s">
        <v>55</v>
      </c>
      <c r="E8" s="106">
        <f>MEDIAN('FINAL COMPS'!G12:G14)</f>
        <v>11.3</v>
      </c>
      <c r="F8" s="107">
        <f>MEDIAN('FINAL COMPS'!G7:G11)</f>
        <v>12.2615543264273</v>
      </c>
      <c r="G8" s="110">
        <f>MEDIAN('FINAL COMPS'!G7:G14)</f>
        <v>11.55</v>
      </c>
    </row>
    <row r="9" spans="4:7" x14ac:dyDescent="0.35">
      <c r="D9" s="109" t="s">
        <v>56</v>
      </c>
      <c r="E9" s="106">
        <f>AVERAGE('FINAL COMPS'!H12:H14)</f>
        <v>9.35</v>
      </c>
      <c r="F9" s="107">
        <f>AVERAGE('FINAL COMPS'!H7:H11)</f>
        <v>9.4652029323633418</v>
      </c>
      <c r="G9" s="110">
        <f>AVERAGE('FINAL COMPS'!H7:H14)</f>
        <v>9.4220018327270871</v>
      </c>
    </row>
    <row r="10" spans="4:7" x14ac:dyDescent="0.35">
      <c r="D10" s="109" t="s">
        <v>57</v>
      </c>
      <c r="E10" s="106">
        <f>MEDIAN('FINAL COMPS'!H12:H14)</f>
        <v>9.49</v>
      </c>
      <c r="F10" s="107">
        <f>MEDIAN('FINAL COMPS'!H7:H11)</f>
        <v>10.60815026107136</v>
      </c>
      <c r="G10" s="110">
        <f>MEDIAN('FINAL COMPS'!H7:H14)</f>
        <v>10.045</v>
      </c>
    </row>
    <row r="11" spans="4:7" x14ac:dyDescent="0.35">
      <c r="D11" s="109" t="s">
        <v>58</v>
      </c>
      <c r="E11" s="106">
        <f>AVERAGE('FINAL COMPS'!I12:I14)</f>
        <v>13.290000000000001</v>
      </c>
      <c r="F11" s="108">
        <f>AVERAGE('FINAL COMPS'!I7:I11)</f>
        <v>23.066000000000003</v>
      </c>
      <c r="G11" s="111">
        <f>AVERAGE('FINAL COMPS'!I7:I14)</f>
        <v>19.400000000000002</v>
      </c>
    </row>
    <row r="12" spans="4:7" ht="15" thickBot="1" x14ac:dyDescent="0.4">
      <c r="D12" s="112" t="s">
        <v>59</v>
      </c>
      <c r="E12" s="113">
        <f>MEDIAN('FINAL COMPS'!I12:I14)</f>
        <v>12.76</v>
      </c>
      <c r="F12" s="114">
        <f>MEDIAN('FINAL COMPS'!I7:I11)</f>
        <v>25.32</v>
      </c>
      <c r="G12" s="115">
        <f>MEDIAN('FINAL COMPS'!I7:I14)</f>
        <v>18.645</v>
      </c>
    </row>
  </sheetData>
  <mergeCells count="1">
    <mergeCell ref="D2:G4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6DF1F-C3D2-45C9-BB53-2DAD2710FE19}">
  <dimension ref="B2:AC57"/>
  <sheetViews>
    <sheetView zoomScale="66" zoomScaleNormal="80" workbookViewId="0"/>
  </sheetViews>
  <sheetFormatPr defaultRowHeight="14.5" x14ac:dyDescent="0.35"/>
  <cols>
    <col min="1" max="16384" width="8.7265625" style="8"/>
  </cols>
  <sheetData>
    <row r="2" spans="2:29" ht="15" thickBot="1" x14ac:dyDescent="0.4"/>
    <row r="3" spans="2:29" ht="14.5" customHeight="1" x14ac:dyDescent="0.35">
      <c r="D3" s="163" t="s">
        <v>91</v>
      </c>
      <c r="E3" s="164"/>
      <c r="F3" s="164"/>
      <c r="G3" s="164"/>
      <c r="H3" s="164"/>
      <c r="I3" s="164"/>
      <c r="J3" s="164"/>
      <c r="K3" s="164"/>
      <c r="L3" s="164"/>
      <c r="M3" s="164"/>
      <c r="N3" s="164"/>
      <c r="O3" s="164"/>
      <c r="P3" s="164"/>
      <c r="Q3" s="164"/>
      <c r="R3" s="164"/>
      <c r="S3" s="164"/>
      <c r="T3" s="164"/>
      <c r="U3" s="164"/>
      <c r="V3" s="164"/>
      <c r="W3" s="164"/>
      <c r="X3" s="164"/>
      <c r="Y3" s="164"/>
      <c r="Z3" s="164"/>
      <c r="AA3" s="164"/>
      <c r="AB3" s="164"/>
      <c r="AC3" s="165"/>
    </row>
    <row r="4" spans="2:29" ht="14.5" customHeight="1" x14ac:dyDescent="0.35">
      <c r="D4" s="166"/>
      <c r="E4" s="167"/>
      <c r="F4" s="167"/>
      <c r="G4" s="167"/>
      <c r="H4" s="167"/>
      <c r="I4" s="167"/>
      <c r="J4" s="167"/>
      <c r="K4" s="167"/>
      <c r="L4" s="167"/>
      <c r="M4" s="167"/>
      <c r="N4" s="167"/>
      <c r="O4" s="167"/>
      <c r="P4" s="167"/>
      <c r="Q4" s="167"/>
      <c r="R4" s="167"/>
      <c r="S4" s="167"/>
      <c r="T4" s="167"/>
      <c r="U4" s="167"/>
      <c r="V4" s="167"/>
      <c r="W4" s="167"/>
      <c r="X4" s="167"/>
      <c r="Y4" s="167"/>
      <c r="Z4" s="167"/>
      <c r="AA4" s="167"/>
      <c r="AB4" s="167"/>
      <c r="AC4" s="168"/>
    </row>
    <row r="5" spans="2:29" ht="15" customHeight="1" thickBot="1" x14ac:dyDescent="0.4">
      <c r="D5" s="169"/>
      <c r="E5" s="170"/>
      <c r="F5" s="170"/>
      <c r="G5" s="170"/>
      <c r="H5" s="170"/>
      <c r="I5" s="170"/>
      <c r="J5" s="170"/>
      <c r="K5" s="170"/>
      <c r="L5" s="170"/>
      <c r="M5" s="170"/>
      <c r="N5" s="170"/>
      <c r="O5" s="170"/>
      <c r="P5" s="170"/>
      <c r="Q5" s="170"/>
      <c r="R5" s="170"/>
      <c r="S5" s="170"/>
      <c r="T5" s="170"/>
      <c r="U5" s="170"/>
      <c r="V5" s="170"/>
      <c r="W5" s="170"/>
      <c r="X5" s="170"/>
      <c r="Y5" s="170"/>
      <c r="Z5" s="170"/>
      <c r="AA5" s="170"/>
      <c r="AB5" s="170"/>
      <c r="AC5" s="171"/>
    </row>
    <row r="10" spans="2:29" ht="15.5" x14ac:dyDescent="0.35">
      <c r="B10" s="9" t="s">
        <v>62</v>
      </c>
      <c r="Q10" s="10" t="s">
        <v>63</v>
      </c>
    </row>
    <row r="25" spans="4:29" ht="15.5" x14ac:dyDescent="0.35">
      <c r="E25" s="172" t="s">
        <v>60</v>
      </c>
      <c r="F25" s="173"/>
      <c r="G25" s="173"/>
      <c r="H25" s="173"/>
      <c r="I25" s="173"/>
      <c r="J25" s="173"/>
      <c r="K25" s="173"/>
      <c r="L25" s="173"/>
      <c r="M25" s="174"/>
      <c r="T25" s="172" t="s">
        <v>64</v>
      </c>
      <c r="U25" s="173"/>
      <c r="V25" s="173"/>
      <c r="W25" s="173"/>
      <c r="X25" s="173"/>
      <c r="Y25" s="173"/>
      <c r="Z25" s="173"/>
      <c r="AA25" s="173"/>
      <c r="AB25" s="174"/>
    </row>
    <row r="27" spans="4:29" ht="14.5" customHeight="1" x14ac:dyDescent="0.35">
      <c r="D27" s="175" t="s">
        <v>61</v>
      </c>
      <c r="E27" s="176"/>
      <c r="F27" s="176"/>
      <c r="G27" s="176"/>
      <c r="H27" s="176"/>
      <c r="I27" s="176"/>
      <c r="J27" s="176"/>
      <c r="K27" s="176"/>
      <c r="L27" s="176"/>
      <c r="M27" s="176"/>
      <c r="N27" s="177"/>
      <c r="S27" s="175" t="s">
        <v>65</v>
      </c>
      <c r="T27" s="176"/>
      <c r="U27" s="176"/>
      <c r="V27" s="176"/>
      <c r="W27" s="176"/>
      <c r="X27" s="176"/>
      <c r="Y27" s="176"/>
      <c r="Z27" s="176"/>
      <c r="AA27" s="176"/>
      <c r="AB27" s="176"/>
      <c r="AC27" s="177"/>
    </row>
    <row r="28" spans="4:29" ht="14.5" customHeight="1" x14ac:dyDescent="0.35">
      <c r="D28" s="178"/>
      <c r="E28" s="179"/>
      <c r="F28" s="179"/>
      <c r="G28" s="179"/>
      <c r="H28" s="179"/>
      <c r="I28" s="179"/>
      <c r="J28" s="179"/>
      <c r="K28" s="179"/>
      <c r="L28" s="179"/>
      <c r="M28" s="179"/>
      <c r="N28" s="180"/>
      <c r="S28" s="178"/>
      <c r="T28" s="179"/>
      <c r="U28" s="179"/>
      <c r="V28" s="179"/>
      <c r="W28" s="179"/>
      <c r="X28" s="179"/>
      <c r="Y28" s="179"/>
      <c r="Z28" s="179"/>
      <c r="AA28" s="179"/>
      <c r="AB28" s="179"/>
      <c r="AC28" s="180"/>
    </row>
    <row r="29" spans="4:29" ht="14.5" customHeight="1" x14ac:dyDescent="0.35">
      <c r="D29" s="178"/>
      <c r="E29" s="179"/>
      <c r="F29" s="179"/>
      <c r="G29" s="179"/>
      <c r="H29" s="179"/>
      <c r="I29" s="179"/>
      <c r="J29" s="179"/>
      <c r="K29" s="179"/>
      <c r="L29" s="179"/>
      <c r="M29" s="179"/>
      <c r="N29" s="180"/>
      <c r="S29" s="178"/>
      <c r="T29" s="179"/>
      <c r="U29" s="179"/>
      <c r="V29" s="179"/>
      <c r="W29" s="179"/>
      <c r="X29" s="179"/>
      <c r="Y29" s="179"/>
      <c r="Z29" s="179"/>
      <c r="AA29" s="179"/>
      <c r="AB29" s="179"/>
      <c r="AC29" s="180"/>
    </row>
    <row r="30" spans="4:29" ht="14.5" customHeight="1" x14ac:dyDescent="0.35">
      <c r="D30" s="178"/>
      <c r="E30" s="179"/>
      <c r="F30" s="179"/>
      <c r="G30" s="179"/>
      <c r="H30" s="179"/>
      <c r="I30" s="179"/>
      <c r="J30" s="179"/>
      <c r="K30" s="179"/>
      <c r="L30" s="179"/>
      <c r="M30" s="179"/>
      <c r="N30" s="180"/>
      <c r="S30" s="178"/>
      <c r="T30" s="179"/>
      <c r="U30" s="179"/>
      <c r="V30" s="179"/>
      <c r="W30" s="179"/>
      <c r="X30" s="179"/>
      <c r="Y30" s="179"/>
      <c r="Z30" s="179"/>
      <c r="AA30" s="179"/>
      <c r="AB30" s="179"/>
      <c r="AC30" s="180"/>
    </row>
    <row r="31" spans="4:29" ht="14.5" customHeight="1" x14ac:dyDescent="0.35">
      <c r="D31" s="181"/>
      <c r="E31" s="182"/>
      <c r="F31" s="182"/>
      <c r="G31" s="182"/>
      <c r="H31" s="182"/>
      <c r="I31" s="182"/>
      <c r="J31" s="182"/>
      <c r="K31" s="182"/>
      <c r="L31" s="182"/>
      <c r="M31" s="182"/>
      <c r="N31" s="183"/>
      <c r="S31" s="178"/>
      <c r="T31" s="179"/>
      <c r="U31" s="179"/>
      <c r="V31" s="179"/>
      <c r="W31" s="179"/>
      <c r="X31" s="179"/>
      <c r="Y31" s="179"/>
      <c r="Z31" s="179"/>
      <c r="AA31" s="179"/>
      <c r="AB31" s="179"/>
      <c r="AC31" s="180"/>
    </row>
    <row r="32" spans="4:29" ht="14.5" customHeight="1" x14ac:dyDescent="0.35">
      <c r="S32" s="181"/>
      <c r="T32" s="182"/>
      <c r="U32" s="182"/>
      <c r="V32" s="182"/>
      <c r="W32" s="182"/>
      <c r="X32" s="182"/>
      <c r="Y32" s="182"/>
      <c r="Z32" s="182"/>
      <c r="AA32" s="182"/>
      <c r="AB32" s="182"/>
      <c r="AC32" s="183"/>
    </row>
    <row r="33" spans="2:17" ht="14.5" customHeight="1" x14ac:dyDescent="0.35"/>
    <row r="35" spans="2:17" ht="15.5" x14ac:dyDescent="0.35">
      <c r="B35" s="9" t="s">
        <v>66</v>
      </c>
      <c r="Q35" s="9" t="s">
        <v>71</v>
      </c>
    </row>
    <row r="50" spans="4:29" ht="15.5" x14ac:dyDescent="0.35">
      <c r="E50" s="172" t="s">
        <v>68</v>
      </c>
      <c r="F50" s="173"/>
      <c r="G50" s="173"/>
      <c r="H50" s="173"/>
      <c r="I50" s="173"/>
      <c r="J50" s="173"/>
      <c r="K50" s="173"/>
      <c r="L50" s="173"/>
      <c r="M50" s="174"/>
      <c r="T50" s="172" t="s">
        <v>69</v>
      </c>
      <c r="U50" s="173"/>
      <c r="V50" s="173"/>
      <c r="W50" s="173"/>
      <c r="X50" s="173"/>
      <c r="Y50" s="173"/>
      <c r="Z50" s="173"/>
      <c r="AA50" s="173"/>
      <c r="AB50" s="174"/>
    </row>
    <row r="52" spans="4:29" ht="14.5" customHeight="1" x14ac:dyDescent="0.35">
      <c r="D52" s="175" t="s">
        <v>67</v>
      </c>
      <c r="E52" s="176"/>
      <c r="F52" s="176"/>
      <c r="G52" s="176"/>
      <c r="H52" s="176"/>
      <c r="I52" s="176"/>
      <c r="J52" s="176"/>
      <c r="K52" s="176"/>
      <c r="L52" s="176"/>
      <c r="M52" s="176"/>
      <c r="N52" s="177"/>
      <c r="S52" s="175" t="s">
        <v>70</v>
      </c>
      <c r="T52" s="176"/>
      <c r="U52" s="176"/>
      <c r="V52" s="176"/>
      <c r="W52" s="176"/>
      <c r="X52" s="176"/>
      <c r="Y52" s="176"/>
      <c r="Z52" s="176"/>
      <c r="AA52" s="176"/>
      <c r="AB52" s="176"/>
      <c r="AC52" s="177"/>
    </row>
    <row r="53" spans="4:29" ht="14.5" customHeight="1" x14ac:dyDescent="0.35">
      <c r="D53" s="178"/>
      <c r="E53" s="179"/>
      <c r="F53" s="179"/>
      <c r="G53" s="179"/>
      <c r="H53" s="179"/>
      <c r="I53" s="179"/>
      <c r="J53" s="179"/>
      <c r="K53" s="179"/>
      <c r="L53" s="179"/>
      <c r="M53" s="179"/>
      <c r="N53" s="180"/>
      <c r="S53" s="178"/>
      <c r="T53" s="179"/>
      <c r="U53" s="179"/>
      <c r="V53" s="179"/>
      <c r="W53" s="179"/>
      <c r="X53" s="179"/>
      <c r="Y53" s="179"/>
      <c r="Z53" s="179"/>
      <c r="AA53" s="179"/>
      <c r="AB53" s="179"/>
      <c r="AC53" s="180"/>
    </row>
    <row r="54" spans="4:29" ht="14.5" customHeight="1" x14ac:dyDescent="0.35">
      <c r="D54" s="178"/>
      <c r="E54" s="179"/>
      <c r="F54" s="179"/>
      <c r="G54" s="179"/>
      <c r="H54" s="179"/>
      <c r="I54" s="179"/>
      <c r="J54" s="179"/>
      <c r="K54" s="179"/>
      <c r="L54" s="179"/>
      <c r="M54" s="179"/>
      <c r="N54" s="180"/>
      <c r="S54" s="178"/>
      <c r="T54" s="179"/>
      <c r="U54" s="179"/>
      <c r="V54" s="179"/>
      <c r="W54" s="179"/>
      <c r="X54" s="179"/>
      <c r="Y54" s="179"/>
      <c r="Z54" s="179"/>
      <c r="AA54" s="179"/>
      <c r="AB54" s="179"/>
      <c r="AC54" s="180"/>
    </row>
    <row r="55" spans="4:29" ht="14.5" customHeight="1" x14ac:dyDescent="0.35">
      <c r="D55" s="178"/>
      <c r="E55" s="179"/>
      <c r="F55" s="179"/>
      <c r="G55" s="179"/>
      <c r="H55" s="179"/>
      <c r="I55" s="179"/>
      <c r="J55" s="179"/>
      <c r="K55" s="179"/>
      <c r="L55" s="179"/>
      <c r="M55" s="179"/>
      <c r="N55" s="180"/>
      <c r="S55" s="178"/>
      <c r="T55" s="179"/>
      <c r="U55" s="179"/>
      <c r="V55" s="179"/>
      <c r="W55" s="179"/>
      <c r="X55" s="179"/>
      <c r="Y55" s="179"/>
      <c r="Z55" s="179"/>
      <c r="AA55" s="179"/>
      <c r="AB55" s="179"/>
      <c r="AC55" s="180"/>
    </row>
    <row r="56" spans="4:29" ht="14.5" customHeight="1" x14ac:dyDescent="0.35">
      <c r="D56" s="178"/>
      <c r="E56" s="179"/>
      <c r="F56" s="179"/>
      <c r="G56" s="179"/>
      <c r="H56" s="179"/>
      <c r="I56" s="179"/>
      <c r="J56" s="179"/>
      <c r="K56" s="179"/>
      <c r="L56" s="179"/>
      <c r="M56" s="179"/>
      <c r="N56" s="180"/>
      <c r="S56" s="178"/>
      <c r="T56" s="179"/>
      <c r="U56" s="179"/>
      <c r="V56" s="179"/>
      <c r="W56" s="179"/>
      <c r="X56" s="179"/>
      <c r="Y56" s="179"/>
      <c r="Z56" s="179"/>
      <c r="AA56" s="179"/>
      <c r="AB56" s="179"/>
      <c r="AC56" s="180"/>
    </row>
    <row r="57" spans="4:29" x14ac:dyDescent="0.35">
      <c r="D57" s="181"/>
      <c r="E57" s="182"/>
      <c r="F57" s="182"/>
      <c r="G57" s="182"/>
      <c r="H57" s="182"/>
      <c r="I57" s="182"/>
      <c r="J57" s="182"/>
      <c r="K57" s="182"/>
      <c r="L57" s="182"/>
      <c r="M57" s="182"/>
      <c r="N57" s="183"/>
      <c r="S57" s="181"/>
      <c r="T57" s="182"/>
      <c r="U57" s="182"/>
      <c r="V57" s="182"/>
      <c r="W57" s="182"/>
      <c r="X57" s="182"/>
      <c r="Y57" s="182"/>
      <c r="Z57" s="182"/>
      <c r="AA57" s="182"/>
      <c r="AB57" s="182"/>
      <c r="AC57" s="183"/>
    </row>
  </sheetData>
  <mergeCells count="9">
    <mergeCell ref="D3:AC5"/>
    <mergeCell ref="E50:M50"/>
    <mergeCell ref="T50:AB50"/>
    <mergeCell ref="S52:AC57"/>
    <mergeCell ref="D52:N57"/>
    <mergeCell ref="E25:M25"/>
    <mergeCell ref="D27:N31"/>
    <mergeCell ref="T25:AB25"/>
    <mergeCell ref="S27:AC3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COVER</vt:lpstr>
      <vt:lpstr>US COMPANIES</vt:lpstr>
      <vt:lpstr>INDIAN COMPANIES</vt:lpstr>
      <vt:lpstr>CALANDARISATION</vt:lpstr>
      <vt:lpstr>EV BRIDGE</vt:lpstr>
      <vt:lpstr>FINAL COMPS</vt:lpstr>
      <vt:lpstr>PEER STATISTICS</vt:lpstr>
      <vt:lpstr>CHARTS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khuram2702@gmail.com</dc:creator>
  <cp:lastModifiedBy>khuram2702@gmail.com</cp:lastModifiedBy>
  <cp:lastPrinted>2026-08-14T18:52:24Z</cp:lastPrinted>
  <dcterms:created xsi:type="dcterms:W3CDTF">2026-08-14T18:40:41Z</dcterms:created>
  <dcterms:modified xsi:type="dcterms:W3CDTF">2026-10-05T18:40:44Z</dcterms:modified>
</cp:coreProperties>
</file>